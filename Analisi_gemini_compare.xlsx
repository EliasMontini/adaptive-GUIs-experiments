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codeName="ThisWorkbook"/>
  <mc:AlternateContent xmlns:mc="http://schemas.openxmlformats.org/markup-compatibility/2006">
    <mc:Choice Requires="x15">
      <x15ac:absPath xmlns:x15ac="http://schemas.microsoft.com/office/spreadsheetml/2010/11/ac" url="https://supsi.sharepoint.com/sites/XR50/Documenti condivisi/General/T3.5/"/>
    </mc:Choice>
  </mc:AlternateContent>
  <xr:revisionPtr revIDLastSave="0" documentId="8_{E3553FB1-127E-4B4A-B407-0145551B2C42}" xr6:coauthVersionLast="47" xr6:coauthVersionMax="47" xr10:uidLastSave="{00000000-0000-0000-0000-000000000000}"/>
  <bookViews>
    <workbookView xWindow="0" yWindow="600" windowWidth="28800" windowHeight="16340" firstSheet="2" activeTab="2" xr2:uid="{BC9C72C0-1355-784B-A324-1F2E082B349E}"/>
  </bookViews>
  <sheets>
    <sheet name="first_round_of_test (Davide)" sheetId="1" r:id="rId1"/>
    <sheet name="first_round_of_test (Sara)" sheetId="2" r:id="rId2"/>
    <sheet name="first_round_of_test (soglie)" sheetId="3" r:id="rId3"/>
  </sheets>
  <definedNames>
    <definedName name="_xlnm._FilterDatabase" localSheetId="0" hidden="1">'first_round_of_test (Davide)'!$A$2:$I$162</definedName>
    <definedName name="_xlnm._FilterDatabase" localSheetId="1" hidden="1">'first_round_of_test (Sara)'!$A$1:$W$165</definedName>
    <definedName name="_xlnm._FilterDatabase" localSheetId="2" hidden="1">'first_round_of_test (soglie)'!$A$1:$W$165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G19" i="3" l="1"/>
  <c r="BH19" i="3"/>
  <c r="BI19" i="3"/>
  <c r="BJ19" i="3"/>
  <c r="BS19" i="3" l="1"/>
  <c r="BK19" i="3"/>
  <c r="BK18" i="3"/>
  <c r="BK17" i="3"/>
  <c r="BK16" i="3"/>
  <c r="BK15" i="3"/>
  <c r="BK14" i="3"/>
  <c r="BK13" i="3"/>
  <c r="BK12" i="3"/>
  <c r="BK11" i="3"/>
  <c r="BK10" i="3"/>
  <c r="BK9" i="3"/>
  <c r="BK8" i="3"/>
  <c r="BK7" i="3"/>
  <c r="BK6" i="3"/>
  <c r="BK5" i="3"/>
  <c r="BK4" i="3"/>
  <c r="BK3" i="3"/>
  <c r="BS4" i="3"/>
  <c r="BS5" i="3"/>
  <c r="BS6" i="3"/>
  <c r="BS7" i="3"/>
  <c r="BS8" i="3"/>
  <c r="BS9" i="3"/>
  <c r="BS10" i="3"/>
  <c r="BS11" i="3"/>
  <c r="BS12" i="3"/>
  <c r="BS13" i="3"/>
  <c r="BS14" i="3"/>
  <c r="BS15" i="3"/>
  <c r="BS16" i="3"/>
  <c r="BS17" i="3"/>
  <c r="BS18" i="3"/>
  <c r="BS3" i="3"/>
  <c r="BN22" i="3"/>
  <c r="BO22" i="3"/>
  <c r="BP22" i="3"/>
  <c r="BQ22" i="3"/>
  <c r="BR22" i="3"/>
  <c r="BN21" i="3"/>
  <c r="BO21" i="3"/>
  <c r="BP21" i="3"/>
  <c r="BQ21" i="3"/>
  <c r="BR21" i="3"/>
  <c r="BN20" i="3"/>
  <c r="BH20" i="3"/>
  <c r="BP20" i="3"/>
  <c r="BN19" i="3"/>
  <c r="BF21" i="3"/>
  <c r="BF19" i="3"/>
  <c r="BJ21" i="3"/>
  <c r="BI21" i="3"/>
  <c r="BF20" i="3"/>
  <c r="BO19" i="3"/>
  <c r="BP19" i="3"/>
  <c r="BQ19" i="3"/>
  <c r="BR19" i="3"/>
  <c r="BG19" i="2"/>
  <c r="W162" i="3"/>
  <c r="V162" i="3"/>
  <c r="U162" i="3"/>
  <c r="T162" i="3"/>
  <c r="S162" i="3"/>
  <c r="J162" i="3"/>
  <c r="K162" i="3" s="1"/>
  <c r="W161" i="3"/>
  <c r="V161" i="3"/>
  <c r="U161" i="3"/>
  <c r="T161" i="3"/>
  <c r="S161" i="3"/>
  <c r="J161" i="3"/>
  <c r="K161" i="3" s="1"/>
  <c r="W160" i="3"/>
  <c r="V160" i="3"/>
  <c r="U160" i="3"/>
  <c r="T160" i="3"/>
  <c r="S160" i="3"/>
  <c r="J160" i="3"/>
  <c r="K160" i="3" s="1"/>
  <c r="W159" i="3"/>
  <c r="V159" i="3"/>
  <c r="U159" i="3"/>
  <c r="T159" i="3"/>
  <c r="S159" i="3"/>
  <c r="J159" i="3"/>
  <c r="K159" i="3" s="1"/>
  <c r="W158" i="3"/>
  <c r="V158" i="3"/>
  <c r="U158" i="3"/>
  <c r="T158" i="3"/>
  <c r="S158" i="3"/>
  <c r="J158" i="3"/>
  <c r="K158" i="3" s="1"/>
  <c r="W157" i="3"/>
  <c r="V157" i="3"/>
  <c r="U157" i="3"/>
  <c r="T157" i="3"/>
  <c r="S157" i="3"/>
  <c r="J157" i="3"/>
  <c r="K157" i="3" s="1"/>
  <c r="W156" i="3"/>
  <c r="V156" i="3"/>
  <c r="U156" i="3"/>
  <c r="T156" i="3"/>
  <c r="S156" i="3"/>
  <c r="J156" i="3"/>
  <c r="K156" i="3" s="1"/>
  <c r="W155" i="3"/>
  <c r="V155" i="3"/>
  <c r="U155" i="3"/>
  <c r="T155" i="3"/>
  <c r="S155" i="3"/>
  <c r="J155" i="3"/>
  <c r="K155" i="3" s="1"/>
  <c r="W154" i="3"/>
  <c r="V154" i="3"/>
  <c r="U154" i="3"/>
  <c r="T154" i="3"/>
  <c r="S154" i="3"/>
  <c r="J154" i="3"/>
  <c r="K154" i="3" s="1"/>
  <c r="W153" i="3"/>
  <c r="V153" i="3"/>
  <c r="U153" i="3"/>
  <c r="T153" i="3"/>
  <c r="S153" i="3"/>
  <c r="J153" i="3"/>
  <c r="K153" i="3" s="1"/>
  <c r="W152" i="3"/>
  <c r="V152" i="3"/>
  <c r="U152" i="3"/>
  <c r="T152" i="3"/>
  <c r="S152" i="3"/>
  <c r="J152" i="3"/>
  <c r="K152" i="3" s="1"/>
  <c r="W151" i="3"/>
  <c r="V151" i="3"/>
  <c r="U151" i="3"/>
  <c r="T151" i="3"/>
  <c r="S151" i="3"/>
  <c r="J151" i="3"/>
  <c r="K151" i="3" s="1"/>
  <c r="W150" i="3"/>
  <c r="V150" i="3"/>
  <c r="U150" i="3"/>
  <c r="T150" i="3"/>
  <c r="S150" i="3"/>
  <c r="J150" i="3"/>
  <c r="K150" i="3" s="1"/>
  <c r="W149" i="3"/>
  <c r="V149" i="3"/>
  <c r="U149" i="3"/>
  <c r="T149" i="3"/>
  <c r="S149" i="3"/>
  <c r="J149" i="3"/>
  <c r="K149" i="3" s="1"/>
  <c r="W148" i="3"/>
  <c r="V148" i="3"/>
  <c r="U148" i="3"/>
  <c r="T148" i="3"/>
  <c r="S148" i="3"/>
  <c r="J148" i="3"/>
  <c r="K148" i="3" s="1"/>
  <c r="W147" i="3"/>
  <c r="V147" i="3"/>
  <c r="U147" i="3"/>
  <c r="T147" i="3"/>
  <c r="S147" i="3"/>
  <c r="J147" i="3"/>
  <c r="K147" i="3" s="1"/>
  <c r="W146" i="3"/>
  <c r="V146" i="3"/>
  <c r="U146" i="3"/>
  <c r="T146" i="3"/>
  <c r="S146" i="3"/>
  <c r="J146" i="3"/>
  <c r="K146" i="3" s="1"/>
  <c r="W145" i="3"/>
  <c r="V145" i="3"/>
  <c r="U145" i="3"/>
  <c r="T145" i="3"/>
  <c r="S145" i="3"/>
  <c r="J145" i="3"/>
  <c r="K145" i="3" s="1"/>
  <c r="W144" i="3"/>
  <c r="V144" i="3"/>
  <c r="U144" i="3"/>
  <c r="T144" i="3"/>
  <c r="S144" i="3"/>
  <c r="J144" i="3"/>
  <c r="K144" i="3" s="1"/>
  <c r="W143" i="3"/>
  <c r="V143" i="3"/>
  <c r="U143" i="3"/>
  <c r="T143" i="3"/>
  <c r="S143" i="3"/>
  <c r="J143" i="3"/>
  <c r="K143" i="3" s="1"/>
  <c r="W142" i="3"/>
  <c r="V142" i="3"/>
  <c r="U142" i="3"/>
  <c r="T142" i="3"/>
  <c r="S142" i="3"/>
  <c r="J142" i="3"/>
  <c r="K142" i="3" s="1"/>
  <c r="W141" i="3"/>
  <c r="V141" i="3"/>
  <c r="U141" i="3"/>
  <c r="T141" i="3"/>
  <c r="S141" i="3"/>
  <c r="J141" i="3"/>
  <c r="K141" i="3" s="1"/>
  <c r="W140" i="3"/>
  <c r="V140" i="3"/>
  <c r="U140" i="3"/>
  <c r="T140" i="3"/>
  <c r="S140" i="3"/>
  <c r="J140" i="3"/>
  <c r="K140" i="3" s="1"/>
  <c r="W139" i="3"/>
  <c r="V139" i="3"/>
  <c r="U139" i="3"/>
  <c r="T139" i="3"/>
  <c r="S139" i="3"/>
  <c r="J139" i="3"/>
  <c r="K139" i="3" s="1"/>
  <c r="W138" i="3"/>
  <c r="V138" i="3"/>
  <c r="U138" i="3"/>
  <c r="T138" i="3"/>
  <c r="S138" i="3"/>
  <c r="J138" i="3"/>
  <c r="K138" i="3" s="1"/>
  <c r="W137" i="3"/>
  <c r="V137" i="3"/>
  <c r="U137" i="3"/>
  <c r="T137" i="3"/>
  <c r="S137" i="3"/>
  <c r="J137" i="3"/>
  <c r="K137" i="3" s="1"/>
  <c r="W136" i="3"/>
  <c r="V136" i="3"/>
  <c r="U136" i="3"/>
  <c r="T136" i="3"/>
  <c r="S136" i="3"/>
  <c r="J136" i="3"/>
  <c r="K136" i="3" s="1"/>
  <c r="W135" i="3"/>
  <c r="V135" i="3"/>
  <c r="U135" i="3"/>
  <c r="T135" i="3"/>
  <c r="S135" i="3"/>
  <c r="J135" i="3"/>
  <c r="K135" i="3" s="1"/>
  <c r="W134" i="3"/>
  <c r="V134" i="3"/>
  <c r="U134" i="3"/>
  <c r="T134" i="3"/>
  <c r="S134" i="3"/>
  <c r="J134" i="3"/>
  <c r="K134" i="3" s="1"/>
  <c r="W133" i="3"/>
  <c r="V133" i="3"/>
  <c r="U133" i="3"/>
  <c r="T133" i="3"/>
  <c r="S133" i="3"/>
  <c r="J133" i="3"/>
  <c r="K133" i="3" s="1"/>
  <c r="W132" i="3"/>
  <c r="V132" i="3"/>
  <c r="U132" i="3"/>
  <c r="T132" i="3"/>
  <c r="S132" i="3"/>
  <c r="J132" i="3"/>
  <c r="K132" i="3" s="1"/>
  <c r="W131" i="3"/>
  <c r="V131" i="3"/>
  <c r="U131" i="3"/>
  <c r="T131" i="3"/>
  <c r="S131" i="3"/>
  <c r="J131" i="3"/>
  <c r="K131" i="3" s="1"/>
  <c r="W130" i="3"/>
  <c r="V130" i="3"/>
  <c r="U130" i="3"/>
  <c r="T130" i="3"/>
  <c r="S130" i="3"/>
  <c r="J130" i="3"/>
  <c r="K130" i="3" s="1"/>
  <c r="W129" i="3"/>
  <c r="V129" i="3"/>
  <c r="U129" i="3"/>
  <c r="T129" i="3"/>
  <c r="S129" i="3"/>
  <c r="J129" i="3"/>
  <c r="K129" i="3" s="1"/>
  <c r="W128" i="3"/>
  <c r="V128" i="3"/>
  <c r="U128" i="3"/>
  <c r="T128" i="3"/>
  <c r="S128" i="3"/>
  <c r="J128" i="3"/>
  <c r="K128" i="3" s="1"/>
  <c r="W127" i="3"/>
  <c r="V127" i="3"/>
  <c r="U127" i="3"/>
  <c r="T127" i="3"/>
  <c r="S127" i="3"/>
  <c r="J127" i="3"/>
  <c r="K127" i="3" s="1"/>
  <c r="W126" i="3"/>
  <c r="V126" i="3"/>
  <c r="U126" i="3"/>
  <c r="T126" i="3"/>
  <c r="S126" i="3"/>
  <c r="J126" i="3"/>
  <c r="K126" i="3" s="1"/>
  <c r="W125" i="3"/>
  <c r="V125" i="3"/>
  <c r="U125" i="3"/>
  <c r="T125" i="3"/>
  <c r="S125" i="3"/>
  <c r="J125" i="3"/>
  <c r="K125" i="3" s="1"/>
  <c r="W124" i="3"/>
  <c r="V124" i="3"/>
  <c r="U124" i="3"/>
  <c r="T124" i="3"/>
  <c r="S124" i="3"/>
  <c r="J124" i="3"/>
  <c r="K124" i="3" s="1"/>
  <c r="W123" i="3"/>
  <c r="V123" i="3"/>
  <c r="U123" i="3"/>
  <c r="T123" i="3"/>
  <c r="S123" i="3"/>
  <c r="J123" i="3"/>
  <c r="K123" i="3" s="1"/>
  <c r="W122" i="3"/>
  <c r="V122" i="3"/>
  <c r="U122" i="3"/>
  <c r="T122" i="3"/>
  <c r="S122" i="3"/>
  <c r="J122" i="3"/>
  <c r="K122" i="3" s="1"/>
  <c r="W121" i="3"/>
  <c r="V121" i="3"/>
  <c r="U121" i="3"/>
  <c r="T121" i="3"/>
  <c r="S121" i="3"/>
  <c r="J121" i="3"/>
  <c r="K121" i="3" s="1"/>
  <c r="W120" i="3"/>
  <c r="V120" i="3"/>
  <c r="U120" i="3"/>
  <c r="T120" i="3"/>
  <c r="S120" i="3"/>
  <c r="J120" i="3"/>
  <c r="K120" i="3" s="1"/>
  <c r="W119" i="3"/>
  <c r="V119" i="3"/>
  <c r="U119" i="3"/>
  <c r="T119" i="3"/>
  <c r="S119" i="3"/>
  <c r="J119" i="3"/>
  <c r="K119" i="3" s="1"/>
  <c r="W118" i="3"/>
  <c r="V118" i="3"/>
  <c r="U118" i="3"/>
  <c r="T118" i="3"/>
  <c r="S118" i="3"/>
  <c r="J118" i="3"/>
  <c r="K118" i="3" s="1"/>
  <c r="W117" i="3"/>
  <c r="V117" i="3"/>
  <c r="U117" i="3"/>
  <c r="T117" i="3"/>
  <c r="S117" i="3"/>
  <c r="J117" i="3"/>
  <c r="K117" i="3" s="1"/>
  <c r="W116" i="3"/>
  <c r="V116" i="3"/>
  <c r="U116" i="3"/>
  <c r="T116" i="3"/>
  <c r="S116" i="3"/>
  <c r="J116" i="3"/>
  <c r="K116" i="3" s="1"/>
  <c r="W115" i="3"/>
  <c r="V115" i="3"/>
  <c r="U115" i="3"/>
  <c r="T115" i="3"/>
  <c r="S115" i="3"/>
  <c r="J115" i="3"/>
  <c r="K115" i="3" s="1"/>
  <c r="W114" i="3"/>
  <c r="V114" i="3"/>
  <c r="U114" i="3"/>
  <c r="T114" i="3"/>
  <c r="S114" i="3"/>
  <c r="J114" i="3"/>
  <c r="K114" i="3" s="1"/>
  <c r="W113" i="3"/>
  <c r="V113" i="3"/>
  <c r="U113" i="3"/>
  <c r="T113" i="3"/>
  <c r="S113" i="3"/>
  <c r="J113" i="3"/>
  <c r="K113" i="3" s="1"/>
  <c r="W112" i="3"/>
  <c r="V112" i="3"/>
  <c r="U112" i="3"/>
  <c r="T112" i="3"/>
  <c r="S112" i="3"/>
  <c r="J112" i="3"/>
  <c r="K112" i="3" s="1"/>
  <c r="W111" i="3"/>
  <c r="V111" i="3"/>
  <c r="U111" i="3"/>
  <c r="T111" i="3"/>
  <c r="S111" i="3"/>
  <c r="J111" i="3"/>
  <c r="K111" i="3" s="1"/>
  <c r="W110" i="3"/>
  <c r="V110" i="3"/>
  <c r="U110" i="3"/>
  <c r="T110" i="3"/>
  <c r="S110" i="3"/>
  <c r="J110" i="3"/>
  <c r="K110" i="3" s="1"/>
  <c r="W109" i="3"/>
  <c r="V109" i="3"/>
  <c r="U109" i="3"/>
  <c r="T109" i="3"/>
  <c r="S109" i="3"/>
  <c r="J109" i="3"/>
  <c r="K109" i="3" s="1"/>
  <c r="W108" i="3"/>
  <c r="V108" i="3"/>
  <c r="U108" i="3"/>
  <c r="T108" i="3"/>
  <c r="S108" i="3"/>
  <c r="J108" i="3"/>
  <c r="K108" i="3" s="1"/>
  <c r="W107" i="3"/>
  <c r="V107" i="3"/>
  <c r="U107" i="3"/>
  <c r="T107" i="3"/>
  <c r="S107" i="3"/>
  <c r="J107" i="3"/>
  <c r="K107" i="3" s="1"/>
  <c r="W106" i="3"/>
  <c r="V106" i="3"/>
  <c r="U106" i="3"/>
  <c r="T106" i="3"/>
  <c r="S106" i="3"/>
  <c r="J106" i="3"/>
  <c r="K106" i="3" s="1"/>
  <c r="W105" i="3"/>
  <c r="V105" i="3"/>
  <c r="U105" i="3"/>
  <c r="T105" i="3"/>
  <c r="S105" i="3"/>
  <c r="J105" i="3"/>
  <c r="K105" i="3" s="1"/>
  <c r="W104" i="3"/>
  <c r="V104" i="3"/>
  <c r="U104" i="3"/>
  <c r="T104" i="3"/>
  <c r="S104" i="3"/>
  <c r="J104" i="3"/>
  <c r="K104" i="3" s="1"/>
  <c r="W103" i="3"/>
  <c r="V103" i="3"/>
  <c r="U103" i="3"/>
  <c r="T103" i="3"/>
  <c r="S103" i="3"/>
  <c r="J103" i="3"/>
  <c r="K103" i="3" s="1"/>
  <c r="W102" i="3"/>
  <c r="V102" i="3"/>
  <c r="U102" i="3"/>
  <c r="T102" i="3"/>
  <c r="S102" i="3"/>
  <c r="J102" i="3"/>
  <c r="K102" i="3" s="1"/>
  <c r="W101" i="3"/>
  <c r="V101" i="3"/>
  <c r="U101" i="3"/>
  <c r="T101" i="3"/>
  <c r="S101" i="3"/>
  <c r="J101" i="3"/>
  <c r="K101" i="3" s="1"/>
  <c r="W100" i="3"/>
  <c r="V100" i="3"/>
  <c r="U100" i="3"/>
  <c r="T100" i="3"/>
  <c r="S100" i="3"/>
  <c r="J100" i="3"/>
  <c r="K100" i="3" s="1"/>
  <c r="W99" i="3"/>
  <c r="V99" i="3"/>
  <c r="U99" i="3"/>
  <c r="T99" i="3"/>
  <c r="S99" i="3"/>
  <c r="J99" i="3"/>
  <c r="K99" i="3" s="1"/>
  <c r="W98" i="3"/>
  <c r="V98" i="3"/>
  <c r="U98" i="3"/>
  <c r="T98" i="3"/>
  <c r="S98" i="3"/>
  <c r="J98" i="3"/>
  <c r="K98" i="3" s="1"/>
  <c r="W97" i="3"/>
  <c r="V97" i="3"/>
  <c r="U97" i="3"/>
  <c r="T97" i="3"/>
  <c r="S97" i="3"/>
  <c r="J97" i="3"/>
  <c r="K97" i="3" s="1"/>
  <c r="W96" i="3"/>
  <c r="V96" i="3"/>
  <c r="U96" i="3"/>
  <c r="T96" i="3"/>
  <c r="S96" i="3"/>
  <c r="J96" i="3"/>
  <c r="K96" i="3" s="1"/>
  <c r="W95" i="3"/>
  <c r="V95" i="3"/>
  <c r="U95" i="3"/>
  <c r="T95" i="3"/>
  <c r="S95" i="3"/>
  <c r="J95" i="3"/>
  <c r="K95" i="3" s="1"/>
  <c r="W94" i="3"/>
  <c r="V94" i="3"/>
  <c r="U94" i="3"/>
  <c r="T94" i="3"/>
  <c r="S94" i="3"/>
  <c r="J94" i="3"/>
  <c r="K94" i="3" s="1"/>
  <c r="W93" i="3"/>
  <c r="V93" i="3"/>
  <c r="U93" i="3"/>
  <c r="T93" i="3"/>
  <c r="S93" i="3"/>
  <c r="J93" i="3"/>
  <c r="K93" i="3" s="1"/>
  <c r="W92" i="3"/>
  <c r="V92" i="3"/>
  <c r="U92" i="3"/>
  <c r="T92" i="3"/>
  <c r="S92" i="3"/>
  <c r="J92" i="3"/>
  <c r="K92" i="3" s="1"/>
  <c r="W91" i="3"/>
  <c r="V91" i="3"/>
  <c r="U91" i="3"/>
  <c r="T91" i="3"/>
  <c r="S91" i="3"/>
  <c r="J91" i="3"/>
  <c r="K91" i="3" s="1"/>
  <c r="W90" i="3"/>
  <c r="V90" i="3"/>
  <c r="U90" i="3"/>
  <c r="T90" i="3"/>
  <c r="S90" i="3"/>
  <c r="J90" i="3"/>
  <c r="K90" i="3" s="1"/>
  <c r="W89" i="3"/>
  <c r="V89" i="3"/>
  <c r="U89" i="3"/>
  <c r="T89" i="3"/>
  <c r="S89" i="3"/>
  <c r="J89" i="3"/>
  <c r="K89" i="3" s="1"/>
  <c r="W88" i="3"/>
  <c r="V88" i="3"/>
  <c r="U88" i="3"/>
  <c r="T88" i="3"/>
  <c r="S88" i="3"/>
  <c r="J88" i="3"/>
  <c r="K88" i="3" s="1"/>
  <c r="W87" i="3"/>
  <c r="V87" i="3"/>
  <c r="U87" i="3"/>
  <c r="T87" i="3"/>
  <c r="S87" i="3"/>
  <c r="J87" i="3"/>
  <c r="K87" i="3" s="1"/>
  <c r="W86" i="3"/>
  <c r="V86" i="3"/>
  <c r="U86" i="3"/>
  <c r="T86" i="3"/>
  <c r="S86" i="3"/>
  <c r="J86" i="3"/>
  <c r="K86" i="3" s="1"/>
  <c r="W85" i="3"/>
  <c r="V85" i="3"/>
  <c r="U85" i="3"/>
  <c r="T85" i="3"/>
  <c r="S85" i="3"/>
  <c r="J85" i="3"/>
  <c r="K85" i="3" s="1"/>
  <c r="W84" i="3"/>
  <c r="V84" i="3"/>
  <c r="U84" i="3"/>
  <c r="T84" i="3"/>
  <c r="S84" i="3"/>
  <c r="J84" i="3"/>
  <c r="K84" i="3" s="1"/>
  <c r="W83" i="3"/>
  <c r="V83" i="3"/>
  <c r="U83" i="3"/>
  <c r="T83" i="3"/>
  <c r="S83" i="3"/>
  <c r="J83" i="3"/>
  <c r="K83" i="3" s="1"/>
  <c r="W82" i="3"/>
  <c r="V82" i="3"/>
  <c r="U82" i="3"/>
  <c r="T82" i="3"/>
  <c r="S82" i="3"/>
  <c r="J82" i="3"/>
  <c r="K82" i="3" s="1"/>
  <c r="W81" i="3"/>
  <c r="V81" i="3"/>
  <c r="U81" i="3"/>
  <c r="T81" i="3"/>
  <c r="S81" i="3"/>
  <c r="J81" i="3"/>
  <c r="K81" i="3" s="1"/>
  <c r="W80" i="3"/>
  <c r="V80" i="3"/>
  <c r="U80" i="3"/>
  <c r="T80" i="3"/>
  <c r="S80" i="3"/>
  <c r="J80" i="3"/>
  <c r="K80" i="3" s="1"/>
  <c r="W79" i="3"/>
  <c r="V79" i="3"/>
  <c r="U79" i="3"/>
  <c r="T79" i="3"/>
  <c r="S79" i="3"/>
  <c r="J79" i="3"/>
  <c r="K79" i="3" s="1"/>
  <c r="W78" i="3"/>
  <c r="V78" i="3"/>
  <c r="U78" i="3"/>
  <c r="T78" i="3"/>
  <c r="S78" i="3"/>
  <c r="J78" i="3"/>
  <c r="K78" i="3" s="1"/>
  <c r="W77" i="3"/>
  <c r="V77" i="3"/>
  <c r="U77" i="3"/>
  <c r="T77" i="3"/>
  <c r="S77" i="3"/>
  <c r="J77" i="3"/>
  <c r="K77" i="3" s="1"/>
  <c r="W76" i="3"/>
  <c r="V76" i="3"/>
  <c r="U76" i="3"/>
  <c r="T76" i="3"/>
  <c r="S76" i="3"/>
  <c r="J76" i="3"/>
  <c r="K76" i="3" s="1"/>
  <c r="W75" i="3"/>
  <c r="V75" i="3"/>
  <c r="U75" i="3"/>
  <c r="T75" i="3"/>
  <c r="S75" i="3"/>
  <c r="J75" i="3"/>
  <c r="K75" i="3" s="1"/>
  <c r="W74" i="3"/>
  <c r="V74" i="3"/>
  <c r="U74" i="3"/>
  <c r="T74" i="3"/>
  <c r="S74" i="3"/>
  <c r="J74" i="3"/>
  <c r="K74" i="3" s="1"/>
  <c r="W73" i="3"/>
  <c r="V73" i="3"/>
  <c r="U73" i="3"/>
  <c r="T73" i="3"/>
  <c r="S73" i="3"/>
  <c r="J73" i="3"/>
  <c r="K73" i="3" s="1"/>
  <c r="W72" i="3"/>
  <c r="V72" i="3"/>
  <c r="U72" i="3"/>
  <c r="T72" i="3"/>
  <c r="S72" i="3"/>
  <c r="J72" i="3"/>
  <c r="K72" i="3" s="1"/>
  <c r="W71" i="3"/>
  <c r="V71" i="3"/>
  <c r="U71" i="3"/>
  <c r="T71" i="3"/>
  <c r="S71" i="3"/>
  <c r="J71" i="3"/>
  <c r="K71" i="3" s="1"/>
  <c r="W70" i="3"/>
  <c r="V70" i="3"/>
  <c r="U70" i="3"/>
  <c r="T70" i="3"/>
  <c r="S70" i="3"/>
  <c r="J70" i="3"/>
  <c r="K70" i="3" s="1"/>
  <c r="W69" i="3"/>
  <c r="V69" i="3"/>
  <c r="U69" i="3"/>
  <c r="T69" i="3"/>
  <c r="S69" i="3"/>
  <c r="J69" i="3"/>
  <c r="K69" i="3" s="1"/>
  <c r="W68" i="3"/>
  <c r="V68" i="3"/>
  <c r="U68" i="3"/>
  <c r="T68" i="3"/>
  <c r="S68" i="3"/>
  <c r="J68" i="3"/>
  <c r="K68" i="3" s="1"/>
  <c r="W67" i="3"/>
  <c r="V67" i="3"/>
  <c r="U67" i="3"/>
  <c r="T67" i="3"/>
  <c r="S67" i="3"/>
  <c r="J67" i="3"/>
  <c r="K67" i="3" s="1"/>
  <c r="W66" i="3"/>
  <c r="V66" i="3"/>
  <c r="U66" i="3"/>
  <c r="T66" i="3"/>
  <c r="S66" i="3"/>
  <c r="J66" i="3"/>
  <c r="K66" i="3" s="1"/>
  <c r="W65" i="3"/>
  <c r="V65" i="3"/>
  <c r="U65" i="3"/>
  <c r="T65" i="3"/>
  <c r="S65" i="3"/>
  <c r="J65" i="3"/>
  <c r="K65" i="3" s="1"/>
  <c r="W64" i="3"/>
  <c r="V64" i="3"/>
  <c r="U64" i="3"/>
  <c r="T64" i="3"/>
  <c r="S64" i="3"/>
  <c r="J64" i="3"/>
  <c r="K64" i="3" s="1"/>
  <c r="W63" i="3"/>
  <c r="V63" i="3"/>
  <c r="U63" i="3"/>
  <c r="T63" i="3"/>
  <c r="S63" i="3"/>
  <c r="J63" i="3"/>
  <c r="K63" i="3" s="1"/>
  <c r="W62" i="3"/>
  <c r="V62" i="3"/>
  <c r="U62" i="3"/>
  <c r="T62" i="3"/>
  <c r="S62" i="3"/>
  <c r="J62" i="3"/>
  <c r="K62" i="3" s="1"/>
  <c r="W61" i="3"/>
  <c r="V61" i="3"/>
  <c r="U61" i="3"/>
  <c r="T61" i="3"/>
  <c r="S61" i="3"/>
  <c r="J61" i="3"/>
  <c r="K61" i="3" s="1"/>
  <c r="W60" i="3"/>
  <c r="V60" i="3"/>
  <c r="U60" i="3"/>
  <c r="T60" i="3"/>
  <c r="S60" i="3"/>
  <c r="J60" i="3"/>
  <c r="K60" i="3" s="1"/>
  <c r="W59" i="3"/>
  <c r="V59" i="3"/>
  <c r="U59" i="3"/>
  <c r="T59" i="3"/>
  <c r="S59" i="3"/>
  <c r="J59" i="3"/>
  <c r="K59" i="3" s="1"/>
  <c r="W58" i="3"/>
  <c r="V58" i="3"/>
  <c r="U58" i="3"/>
  <c r="T58" i="3"/>
  <c r="S58" i="3"/>
  <c r="J58" i="3"/>
  <c r="K58" i="3" s="1"/>
  <c r="W57" i="3"/>
  <c r="V57" i="3"/>
  <c r="U57" i="3"/>
  <c r="T57" i="3"/>
  <c r="S57" i="3"/>
  <c r="J57" i="3"/>
  <c r="K57" i="3" s="1"/>
  <c r="W56" i="3"/>
  <c r="V56" i="3"/>
  <c r="U56" i="3"/>
  <c r="T56" i="3"/>
  <c r="S56" i="3"/>
  <c r="J56" i="3"/>
  <c r="K56" i="3" s="1"/>
  <c r="W55" i="3"/>
  <c r="V55" i="3"/>
  <c r="U55" i="3"/>
  <c r="T55" i="3"/>
  <c r="S55" i="3"/>
  <c r="J55" i="3"/>
  <c r="K55" i="3" s="1"/>
  <c r="W54" i="3"/>
  <c r="V54" i="3"/>
  <c r="U54" i="3"/>
  <c r="T54" i="3"/>
  <c r="S54" i="3"/>
  <c r="J54" i="3"/>
  <c r="K54" i="3" s="1"/>
  <c r="W53" i="3"/>
  <c r="V53" i="3"/>
  <c r="U53" i="3"/>
  <c r="T53" i="3"/>
  <c r="S53" i="3"/>
  <c r="J53" i="3"/>
  <c r="K53" i="3" s="1"/>
  <c r="W52" i="3"/>
  <c r="V52" i="3"/>
  <c r="U52" i="3"/>
  <c r="T52" i="3"/>
  <c r="S52" i="3"/>
  <c r="J52" i="3"/>
  <c r="K52" i="3" s="1"/>
  <c r="W51" i="3"/>
  <c r="V51" i="3"/>
  <c r="U51" i="3"/>
  <c r="T51" i="3"/>
  <c r="S51" i="3"/>
  <c r="J51" i="3"/>
  <c r="K51" i="3" s="1"/>
  <c r="W50" i="3"/>
  <c r="V50" i="3"/>
  <c r="U50" i="3"/>
  <c r="T50" i="3"/>
  <c r="S50" i="3"/>
  <c r="J50" i="3"/>
  <c r="K50" i="3" s="1"/>
  <c r="W49" i="3"/>
  <c r="V49" i="3"/>
  <c r="U49" i="3"/>
  <c r="T49" i="3"/>
  <c r="S49" i="3"/>
  <c r="J49" i="3"/>
  <c r="K49" i="3" s="1"/>
  <c r="W48" i="3"/>
  <c r="V48" i="3"/>
  <c r="U48" i="3"/>
  <c r="T48" i="3"/>
  <c r="S48" i="3"/>
  <c r="J48" i="3"/>
  <c r="K48" i="3" s="1"/>
  <c r="W47" i="3"/>
  <c r="V47" i="3"/>
  <c r="U47" i="3"/>
  <c r="T47" i="3"/>
  <c r="S47" i="3"/>
  <c r="J47" i="3"/>
  <c r="K47" i="3" s="1"/>
  <c r="W46" i="3"/>
  <c r="V46" i="3"/>
  <c r="U46" i="3"/>
  <c r="T46" i="3"/>
  <c r="S46" i="3"/>
  <c r="J46" i="3"/>
  <c r="K46" i="3" s="1"/>
  <c r="W45" i="3"/>
  <c r="V45" i="3"/>
  <c r="U45" i="3"/>
  <c r="T45" i="3"/>
  <c r="S45" i="3"/>
  <c r="J45" i="3"/>
  <c r="K45" i="3" s="1"/>
  <c r="W44" i="3"/>
  <c r="V44" i="3"/>
  <c r="U44" i="3"/>
  <c r="T44" i="3"/>
  <c r="S44" i="3"/>
  <c r="J44" i="3"/>
  <c r="K44" i="3" s="1"/>
  <c r="W43" i="3"/>
  <c r="V43" i="3"/>
  <c r="U43" i="3"/>
  <c r="T43" i="3"/>
  <c r="S43" i="3"/>
  <c r="J43" i="3"/>
  <c r="K43" i="3" s="1"/>
  <c r="W42" i="3"/>
  <c r="V42" i="3"/>
  <c r="U42" i="3"/>
  <c r="T42" i="3"/>
  <c r="S42" i="3"/>
  <c r="J42" i="3"/>
  <c r="K42" i="3" s="1"/>
  <c r="W41" i="3"/>
  <c r="V41" i="3"/>
  <c r="U41" i="3"/>
  <c r="T41" i="3"/>
  <c r="S41" i="3"/>
  <c r="J41" i="3"/>
  <c r="K41" i="3" s="1"/>
  <c r="W40" i="3"/>
  <c r="V40" i="3"/>
  <c r="U40" i="3"/>
  <c r="T40" i="3"/>
  <c r="S40" i="3"/>
  <c r="J40" i="3"/>
  <c r="K40" i="3" s="1"/>
  <c r="W39" i="3"/>
  <c r="V39" i="3"/>
  <c r="U39" i="3"/>
  <c r="T39" i="3"/>
  <c r="S39" i="3"/>
  <c r="J39" i="3"/>
  <c r="K39" i="3" s="1"/>
  <c r="W38" i="3"/>
  <c r="V38" i="3"/>
  <c r="U38" i="3"/>
  <c r="T38" i="3"/>
  <c r="S38" i="3"/>
  <c r="J38" i="3"/>
  <c r="K38" i="3" s="1"/>
  <c r="W37" i="3"/>
  <c r="V37" i="3"/>
  <c r="U37" i="3"/>
  <c r="T37" i="3"/>
  <c r="S37" i="3"/>
  <c r="J37" i="3"/>
  <c r="K37" i="3" s="1"/>
  <c r="W36" i="3"/>
  <c r="V36" i="3"/>
  <c r="U36" i="3"/>
  <c r="T36" i="3"/>
  <c r="S36" i="3"/>
  <c r="J36" i="3"/>
  <c r="K36" i="3" s="1"/>
  <c r="W35" i="3"/>
  <c r="V35" i="3"/>
  <c r="U35" i="3"/>
  <c r="T35" i="3"/>
  <c r="S35" i="3"/>
  <c r="J35" i="3"/>
  <c r="K35" i="3" s="1"/>
  <c r="W34" i="3"/>
  <c r="V34" i="3"/>
  <c r="U34" i="3"/>
  <c r="T34" i="3"/>
  <c r="S34" i="3"/>
  <c r="J34" i="3"/>
  <c r="K34" i="3" s="1"/>
  <c r="W33" i="3"/>
  <c r="V33" i="3"/>
  <c r="U33" i="3"/>
  <c r="T33" i="3"/>
  <c r="S33" i="3"/>
  <c r="J33" i="3"/>
  <c r="K33" i="3" s="1"/>
  <c r="W32" i="3"/>
  <c r="V32" i="3"/>
  <c r="U32" i="3"/>
  <c r="T32" i="3"/>
  <c r="S32" i="3"/>
  <c r="J32" i="3"/>
  <c r="K32" i="3" s="1"/>
  <c r="W31" i="3"/>
  <c r="V31" i="3"/>
  <c r="U31" i="3"/>
  <c r="T31" i="3"/>
  <c r="S31" i="3"/>
  <c r="J31" i="3"/>
  <c r="K31" i="3" s="1"/>
  <c r="W30" i="3"/>
  <c r="V30" i="3"/>
  <c r="U30" i="3"/>
  <c r="T30" i="3"/>
  <c r="S30" i="3"/>
  <c r="J30" i="3"/>
  <c r="K30" i="3" s="1"/>
  <c r="W29" i="3"/>
  <c r="V29" i="3"/>
  <c r="U29" i="3"/>
  <c r="T29" i="3"/>
  <c r="S29" i="3"/>
  <c r="J29" i="3"/>
  <c r="K29" i="3" s="1"/>
  <c r="W28" i="3"/>
  <c r="V28" i="3"/>
  <c r="U28" i="3"/>
  <c r="T28" i="3"/>
  <c r="S28" i="3"/>
  <c r="J28" i="3"/>
  <c r="K28" i="3" s="1"/>
  <c r="W27" i="3"/>
  <c r="V27" i="3"/>
  <c r="U27" i="3"/>
  <c r="T27" i="3"/>
  <c r="S27" i="3"/>
  <c r="J27" i="3"/>
  <c r="K27" i="3" s="1"/>
  <c r="W26" i="3"/>
  <c r="V26" i="3"/>
  <c r="U26" i="3"/>
  <c r="T26" i="3"/>
  <c r="S26" i="3"/>
  <c r="J26" i="3"/>
  <c r="K26" i="3" s="1"/>
  <c r="W25" i="3"/>
  <c r="V25" i="3"/>
  <c r="U25" i="3"/>
  <c r="T25" i="3"/>
  <c r="S25" i="3"/>
  <c r="J25" i="3"/>
  <c r="K25" i="3" s="1"/>
  <c r="W24" i="3"/>
  <c r="V24" i="3"/>
  <c r="U24" i="3"/>
  <c r="T24" i="3"/>
  <c r="S24" i="3"/>
  <c r="J24" i="3"/>
  <c r="K24" i="3" s="1"/>
  <c r="W23" i="3"/>
  <c r="V23" i="3"/>
  <c r="U23" i="3"/>
  <c r="T23" i="3"/>
  <c r="S23" i="3"/>
  <c r="J23" i="3"/>
  <c r="K23" i="3" s="1"/>
  <c r="BJ22" i="3"/>
  <c r="BI22" i="3"/>
  <c r="BH22" i="3"/>
  <c r="BG22" i="3"/>
  <c r="BF22" i="3"/>
  <c r="W22" i="3"/>
  <c r="V22" i="3"/>
  <c r="U22" i="3"/>
  <c r="T22" i="3"/>
  <c r="S22" i="3"/>
  <c r="J22" i="3"/>
  <c r="K22" i="3" s="1"/>
  <c r="BH21" i="3"/>
  <c r="BG21" i="3"/>
  <c r="W21" i="3"/>
  <c r="V21" i="3"/>
  <c r="U21" i="3"/>
  <c r="T21" i="3"/>
  <c r="S21" i="3"/>
  <c r="J21" i="3"/>
  <c r="K21" i="3" s="1"/>
  <c r="W20" i="3"/>
  <c r="V20" i="3"/>
  <c r="U20" i="3"/>
  <c r="T20" i="3"/>
  <c r="S20" i="3"/>
  <c r="J20" i="3"/>
  <c r="K20" i="3" s="1"/>
  <c r="W19" i="3"/>
  <c r="V19" i="3"/>
  <c r="U19" i="3"/>
  <c r="T19" i="3"/>
  <c r="S19" i="3"/>
  <c r="J19" i="3"/>
  <c r="K19" i="3" s="1"/>
  <c r="W18" i="3"/>
  <c r="V18" i="3"/>
  <c r="AZ18" i="3" s="1"/>
  <c r="U18" i="3"/>
  <c r="T18" i="3"/>
  <c r="AX18" i="3" s="1"/>
  <c r="S18" i="3"/>
  <c r="AW18" i="3" s="1"/>
  <c r="J18" i="3"/>
  <c r="K18" i="3" s="1"/>
  <c r="AK13" i="3" s="1"/>
  <c r="W17" i="3"/>
  <c r="V17" i="3"/>
  <c r="U17" i="3"/>
  <c r="AY17" i="3" s="1"/>
  <c r="T17" i="3"/>
  <c r="S17" i="3"/>
  <c r="AW17" i="3" s="1"/>
  <c r="J17" i="3"/>
  <c r="K17" i="3" s="1"/>
  <c r="W16" i="3"/>
  <c r="BA16" i="3" s="1"/>
  <c r="V16" i="3"/>
  <c r="U16" i="3"/>
  <c r="T16" i="3"/>
  <c r="S16" i="3"/>
  <c r="AW16" i="3" s="1"/>
  <c r="J16" i="3"/>
  <c r="K16" i="3" s="1"/>
  <c r="W15" i="3"/>
  <c r="BA15" i="3" s="1"/>
  <c r="V15" i="3"/>
  <c r="AZ15" i="3" s="1"/>
  <c r="U15" i="3"/>
  <c r="T15" i="3"/>
  <c r="S15" i="3"/>
  <c r="J15" i="3"/>
  <c r="K15" i="3" s="1"/>
  <c r="W14" i="3"/>
  <c r="V14" i="3"/>
  <c r="AZ14" i="3" s="1"/>
  <c r="U14" i="3"/>
  <c r="AY14" i="3" s="1"/>
  <c r="T14" i="3"/>
  <c r="AX14" i="3" s="1"/>
  <c r="S14" i="3"/>
  <c r="J14" i="3"/>
  <c r="K14" i="3" s="1"/>
  <c r="W13" i="3"/>
  <c r="V13" i="3"/>
  <c r="AZ13" i="3" s="1"/>
  <c r="U13" i="3"/>
  <c r="T13" i="3"/>
  <c r="AX13" i="3" s="1"/>
  <c r="S13" i="3"/>
  <c r="AW13" i="3" s="1"/>
  <c r="J13" i="3"/>
  <c r="K13" i="3" s="1"/>
  <c r="W12" i="3"/>
  <c r="V12" i="3"/>
  <c r="U12" i="3"/>
  <c r="T12" i="3"/>
  <c r="AX12" i="3" s="1"/>
  <c r="S12" i="3"/>
  <c r="J12" i="3"/>
  <c r="K12" i="3" s="1"/>
  <c r="W11" i="3"/>
  <c r="BA11" i="3" s="1"/>
  <c r="V11" i="3"/>
  <c r="AZ11" i="3" s="1"/>
  <c r="U11" i="3"/>
  <c r="T11" i="3"/>
  <c r="S11" i="3"/>
  <c r="J11" i="3"/>
  <c r="K11" i="3" s="1"/>
  <c r="AK7" i="3" s="1"/>
  <c r="W10" i="3"/>
  <c r="BA10" i="3" s="1"/>
  <c r="V10" i="3"/>
  <c r="AZ10" i="3" s="1"/>
  <c r="U10" i="3"/>
  <c r="AY10" i="3" s="1"/>
  <c r="T10" i="3"/>
  <c r="AX10" i="3" s="1"/>
  <c r="S10" i="3"/>
  <c r="J10" i="3"/>
  <c r="K10" i="3" s="1"/>
  <c r="W9" i="3"/>
  <c r="V9" i="3"/>
  <c r="AZ9" i="3" s="1"/>
  <c r="U9" i="3"/>
  <c r="AY9" i="3" s="1"/>
  <c r="T9" i="3"/>
  <c r="AX9" i="3" s="1"/>
  <c r="S9" i="3"/>
  <c r="AW9" i="3" s="1"/>
  <c r="J9" i="3"/>
  <c r="K9" i="3" s="1"/>
  <c r="W8" i="3"/>
  <c r="V8" i="3"/>
  <c r="AZ8" i="3" s="1"/>
  <c r="U8" i="3"/>
  <c r="T8" i="3"/>
  <c r="AX8" i="3" s="1"/>
  <c r="S8" i="3"/>
  <c r="AW8" i="3" s="1"/>
  <c r="J8" i="3"/>
  <c r="K8" i="3" s="1"/>
  <c r="AN5" i="3" s="1"/>
  <c r="W7" i="3"/>
  <c r="BA7" i="3" s="1"/>
  <c r="V7" i="3"/>
  <c r="AZ7" i="3" s="1"/>
  <c r="U7" i="3"/>
  <c r="AY7" i="3" s="1"/>
  <c r="T7" i="3"/>
  <c r="S7" i="3"/>
  <c r="AW7" i="3" s="1"/>
  <c r="J7" i="3"/>
  <c r="K7" i="3" s="1"/>
  <c r="AK5" i="3" s="1"/>
  <c r="W6" i="3"/>
  <c r="BA6" i="3" s="1"/>
  <c r="V6" i="3"/>
  <c r="AZ6" i="3" s="1"/>
  <c r="U6" i="3"/>
  <c r="AY6" i="3" s="1"/>
  <c r="T6" i="3"/>
  <c r="S6" i="3"/>
  <c r="J6" i="3"/>
  <c r="K6" i="3" s="1"/>
  <c r="W5" i="3"/>
  <c r="BA5" i="3" s="1"/>
  <c r="V5" i="3"/>
  <c r="AZ5" i="3" s="1"/>
  <c r="U5" i="3"/>
  <c r="AY5" i="3" s="1"/>
  <c r="T5" i="3"/>
  <c r="AX5" i="3" s="1"/>
  <c r="S5" i="3"/>
  <c r="J5" i="3"/>
  <c r="K5" i="3" s="1"/>
  <c r="W4" i="3"/>
  <c r="BA4" i="3" s="1"/>
  <c r="V4" i="3"/>
  <c r="U4" i="3"/>
  <c r="T4" i="3"/>
  <c r="AX4" i="3" s="1"/>
  <c r="S4" i="3"/>
  <c r="AW5" i="3" s="1"/>
  <c r="K4" i="3"/>
  <c r="J4" i="3"/>
  <c r="W3" i="3"/>
  <c r="BA3" i="3" s="1"/>
  <c r="V3" i="3"/>
  <c r="AZ3" i="3" s="1"/>
  <c r="U3" i="3"/>
  <c r="T3" i="3"/>
  <c r="S3" i="3"/>
  <c r="AW4" i="3" s="1"/>
  <c r="J3" i="3"/>
  <c r="K3" i="3" s="1"/>
  <c r="BG22" i="2"/>
  <c r="BH22" i="2"/>
  <c r="BI22" i="2"/>
  <c r="BJ22" i="2"/>
  <c r="BF22" i="2"/>
  <c r="BG21" i="2"/>
  <c r="BH21" i="2"/>
  <c r="BI21" i="2"/>
  <c r="BJ21" i="2"/>
  <c r="BF21" i="2"/>
  <c r="BH20" i="2"/>
  <c r="BF20" i="2"/>
  <c r="BJ19" i="2"/>
  <c r="BI19" i="2"/>
  <c r="BH19" i="2"/>
  <c r="BF19" i="2"/>
  <c r="AW6" i="3" l="1"/>
  <c r="BA12" i="3"/>
  <c r="AW14" i="3"/>
  <c r="AY15" i="3"/>
  <c r="AZ16" i="3"/>
  <c r="AY13" i="3"/>
  <c r="BA14" i="3"/>
  <c r="AK10" i="3"/>
  <c r="AX17" i="3"/>
  <c r="AY18" i="3"/>
  <c r="AX6" i="3"/>
  <c r="BA8" i="3"/>
  <c r="AY12" i="3"/>
  <c r="BA13" i="3"/>
  <c r="AW15" i="3"/>
  <c r="BA9" i="3"/>
  <c r="AW12" i="3"/>
  <c r="AN6" i="3"/>
  <c r="AW11" i="3"/>
  <c r="AX16" i="3"/>
  <c r="BA18" i="3"/>
  <c r="AX7" i="3"/>
  <c r="AY8" i="3"/>
  <c r="AZ17" i="3"/>
  <c r="AW10" i="3"/>
  <c r="AW23" i="3" s="1"/>
  <c r="AZ12" i="3"/>
  <c r="AY16" i="3"/>
  <c r="S164" i="3"/>
  <c r="BA17" i="3"/>
  <c r="BA19" i="3" s="1"/>
  <c r="AX11" i="3"/>
  <c r="AY4" i="3"/>
  <c r="AY23" i="3" s="1"/>
  <c r="AY11" i="3"/>
  <c r="AZ4" i="3"/>
  <c r="AX15" i="3"/>
  <c r="AK8" i="3"/>
  <c r="W165" i="3"/>
  <c r="AK6" i="3"/>
  <c r="V165" i="3"/>
  <c r="U165" i="3"/>
  <c r="T164" i="3"/>
  <c r="AH8" i="3"/>
  <c r="AH12" i="3"/>
  <c r="AN8" i="3"/>
  <c r="AH4" i="3"/>
  <c r="AH7" i="3"/>
  <c r="AH11" i="3"/>
  <c r="AN9" i="3"/>
  <c r="AH6" i="3"/>
  <c r="AN4" i="3"/>
  <c r="AN11" i="3"/>
  <c r="AN7" i="3"/>
  <c r="AH10" i="3"/>
  <c r="AH14" i="3"/>
  <c r="AH13" i="3"/>
  <c r="AK3" i="3"/>
  <c r="AH3" i="3"/>
  <c r="AN3" i="3"/>
  <c r="AK4" i="3"/>
  <c r="AH5" i="3"/>
  <c r="AH9" i="3"/>
  <c r="AW3" i="3"/>
  <c r="U164" i="3"/>
  <c r="AX3" i="3"/>
  <c r="AZ22" i="3"/>
  <c r="S163" i="3"/>
  <c r="V164" i="3"/>
  <c r="AY3" i="3"/>
  <c r="BA22" i="3"/>
  <c r="T163" i="3"/>
  <c r="W164" i="3"/>
  <c r="U163" i="3"/>
  <c r="S165" i="3"/>
  <c r="V163" i="3"/>
  <c r="T165" i="3"/>
  <c r="W163" i="3"/>
  <c r="T4" i="2"/>
  <c r="U4" i="2"/>
  <c r="V4" i="2"/>
  <c r="W4" i="2"/>
  <c r="T5" i="2"/>
  <c r="U5" i="2"/>
  <c r="V5" i="2"/>
  <c r="W5" i="2"/>
  <c r="T6" i="2"/>
  <c r="U6" i="2"/>
  <c r="V6" i="2"/>
  <c r="W6" i="2"/>
  <c r="T7" i="2"/>
  <c r="U7" i="2"/>
  <c r="V7" i="2"/>
  <c r="W7" i="2"/>
  <c r="T8" i="2"/>
  <c r="U8" i="2"/>
  <c r="V8" i="2"/>
  <c r="W8" i="2"/>
  <c r="T9" i="2"/>
  <c r="U9" i="2"/>
  <c r="V9" i="2"/>
  <c r="W9" i="2"/>
  <c r="T10" i="2"/>
  <c r="U10" i="2"/>
  <c r="V10" i="2"/>
  <c r="W10" i="2"/>
  <c r="T11" i="2"/>
  <c r="U11" i="2"/>
  <c r="V11" i="2"/>
  <c r="W11" i="2"/>
  <c r="T12" i="2"/>
  <c r="U12" i="2"/>
  <c r="V12" i="2"/>
  <c r="W12" i="2"/>
  <c r="T13" i="2"/>
  <c r="U13" i="2"/>
  <c r="V13" i="2"/>
  <c r="W13" i="2"/>
  <c r="T14" i="2"/>
  <c r="U14" i="2"/>
  <c r="V14" i="2"/>
  <c r="W14" i="2"/>
  <c r="T15" i="2"/>
  <c r="U15" i="2"/>
  <c r="V15" i="2"/>
  <c r="W15" i="2"/>
  <c r="T16" i="2"/>
  <c r="U16" i="2"/>
  <c r="V16" i="2"/>
  <c r="W16" i="2"/>
  <c r="T17" i="2"/>
  <c r="U17" i="2"/>
  <c r="V17" i="2"/>
  <c r="W17" i="2"/>
  <c r="T18" i="2"/>
  <c r="U18" i="2"/>
  <c r="V18" i="2"/>
  <c r="W18" i="2"/>
  <c r="T19" i="2"/>
  <c r="U19" i="2"/>
  <c r="V19" i="2"/>
  <c r="W19" i="2"/>
  <c r="T20" i="2"/>
  <c r="U20" i="2"/>
  <c r="V20" i="2"/>
  <c r="W20" i="2"/>
  <c r="T21" i="2"/>
  <c r="U21" i="2"/>
  <c r="V21" i="2"/>
  <c r="W21" i="2"/>
  <c r="T22" i="2"/>
  <c r="U22" i="2"/>
  <c r="V22" i="2"/>
  <c r="W22" i="2"/>
  <c r="T23" i="2"/>
  <c r="U23" i="2"/>
  <c r="V23" i="2"/>
  <c r="W23" i="2"/>
  <c r="T24" i="2"/>
  <c r="U24" i="2"/>
  <c r="V24" i="2"/>
  <c r="W24" i="2"/>
  <c r="T25" i="2"/>
  <c r="U25" i="2"/>
  <c r="V25" i="2"/>
  <c r="W25" i="2"/>
  <c r="T26" i="2"/>
  <c r="U26" i="2"/>
  <c r="V26" i="2"/>
  <c r="W26" i="2"/>
  <c r="T27" i="2"/>
  <c r="U27" i="2"/>
  <c r="V27" i="2"/>
  <c r="W27" i="2"/>
  <c r="T28" i="2"/>
  <c r="U28" i="2"/>
  <c r="V28" i="2"/>
  <c r="W28" i="2"/>
  <c r="T29" i="2"/>
  <c r="U29" i="2"/>
  <c r="V29" i="2"/>
  <c r="W29" i="2"/>
  <c r="T30" i="2"/>
  <c r="U30" i="2"/>
  <c r="V30" i="2"/>
  <c r="W30" i="2"/>
  <c r="T31" i="2"/>
  <c r="U31" i="2"/>
  <c r="V31" i="2"/>
  <c r="W31" i="2"/>
  <c r="T32" i="2"/>
  <c r="U32" i="2"/>
  <c r="V32" i="2"/>
  <c r="W32" i="2"/>
  <c r="T33" i="2"/>
  <c r="U33" i="2"/>
  <c r="V33" i="2"/>
  <c r="W33" i="2"/>
  <c r="T34" i="2"/>
  <c r="U34" i="2"/>
  <c r="V34" i="2"/>
  <c r="W34" i="2"/>
  <c r="T35" i="2"/>
  <c r="U35" i="2"/>
  <c r="V35" i="2"/>
  <c r="W35" i="2"/>
  <c r="T36" i="2"/>
  <c r="U36" i="2"/>
  <c r="V36" i="2"/>
  <c r="W36" i="2"/>
  <c r="T37" i="2"/>
  <c r="U37" i="2"/>
  <c r="V37" i="2"/>
  <c r="W37" i="2"/>
  <c r="T38" i="2"/>
  <c r="U38" i="2"/>
  <c r="V38" i="2"/>
  <c r="W38" i="2"/>
  <c r="T39" i="2"/>
  <c r="U39" i="2"/>
  <c r="V39" i="2"/>
  <c r="W39" i="2"/>
  <c r="T40" i="2"/>
  <c r="U40" i="2"/>
  <c r="V40" i="2"/>
  <c r="W40" i="2"/>
  <c r="T41" i="2"/>
  <c r="U41" i="2"/>
  <c r="V41" i="2"/>
  <c r="W41" i="2"/>
  <c r="T42" i="2"/>
  <c r="U42" i="2"/>
  <c r="V42" i="2"/>
  <c r="W42" i="2"/>
  <c r="T43" i="2"/>
  <c r="U43" i="2"/>
  <c r="V43" i="2"/>
  <c r="W43" i="2"/>
  <c r="T44" i="2"/>
  <c r="U44" i="2"/>
  <c r="V44" i="2"/>
  <c r="W44" i="2"/>
  <c r="T45" i="2"/>
  <c r="U45" i="2"/>
  <c r="V45" i="2"/>
  <c r="W45" i="2"/>
  <c r="T46" i="2"/>
  <c r="U46" i="2"/>
  <c r="V46" i="2"/>
  <c r="W46" i="2"/>
  <c r="T47" i="2"/>
  <c r="U47" i="2"/>
  <c r="V47" i="2"/>
  <c r="W47" i="2"/>
  <c r="T48" i="2"/>
  <c r="U48" i="2"/>
  <c r="V48" i="2"/>
  <c r="W48" i="2"/>
  <c r="T49" i="2"/>
  <c r="U49" i="2"/>
  <c r="V49" i="2"/>
  <c r="W49" i="2"/>
  <c r="T50" i="2"/>
  <c r="U50" i="2"/>
  <c r="V50" i="2"/>
  <c r="W50" i="2"/>
  <c r="T51" i="2"/>
  <c r="U51" i="2"/>
  <c r="V51" i="2"/>
  <c r="W51" i="2"/>
  <c r="T52" i="2"/>
  <c r="U52" i="2"/>
  <c r="V52" i="2"/>
  <c r="W52" i="2"/>
  <c r="T53" i="2"/>
  <c r="U53" i="2"/>
  <c r="V53" i="2"/>
  <c r="W53" i="2"/>
  <c r="T54" i="2"/>
  <c r="U54" i="2"/>
  <c r="V54" i="2"/>
  <c r="W54" i="2"/>
  <c r="T55" i="2"/>
  <c r="U55" i="2"/>
  <c r="V55" i="2"/>
  <c r="W55" i="2"/>
  <c r="T56" i="2"/>
  <c r="U56" i="2"/>
  <c r="V56" i="2"/>
  <c r="W56" i="2"/>
  <c r="T57" i="2"/>
  <c r="U57" i="2"/>
  <c r="V57" i="2"/>
  <c r="W57" i="2"/>
  <c r="T58" i="2"/>
  <c r="U58" i="2"/>
  <c r="V58" i="2"/>
  <c r="W58" i="2"/>
  <c r="T59" i="2"/>
  <c r="U59" i="2"/>
  <c r="V59" i="2"/>
  <c r="W59" i="2"/>
  <c r="T60" i="2"/>
  <c r="U60" i="2"/>
  <c r="V60" i="2"/>
  <c r="W60" i="2"/>
  <c r="T61" i="2"/>
  <c r="U61" i="2"/>
  <c r="V61" i="2"/>
  <c r="W61" i="2"/>
  <c r="T62" i="2"/>
  <c r="U62" i="2"/>
  <c r="V62" i="2"/>
  <c r="W62" i="2"/>
  <c r="T63" i="2"/>
  <c r="U63" i="2"/>
  <c r="V63" i="2"/>
  <c r="W63" i="2"/>
  <c r="T64" i="2"/>
  <c r="U64" i="2"/>
  <c r="V64" i="2"/>
  <c r="W64" i="2"/>
  <c r="T65" i="2"/>
  <c r="U65" i="2"/>
  <c r="V65" i="2"/>
  <c r="W65" i="2"/>
  <c r="T66" i="2"/>
  <c r="U66" i="2"/>
  <c r="V66" i="2"/>
  <c r="W66" i="2"/>
  <c r="T67" i="2"/>
  <c r="U67" i="2"/>
  <c r="V67" i="2"/>
  <c r="W67" i="2"/>
  <c r="T68" i="2"/>
  <c r="U68" i="2"/>
  <c r="V68" i="2"/>
  <c r="W68" i="2"/>
  <c r="T69" i="2"/>
  <c r="U69" i="2"/>
  <c r="V69" i="2"/>
  <c r="W69" i="2"/>
  <c r="T70" i="2"/>
  <c r="U70" i="2"/>
  <c r="V70" i="2"/>
  <c r="W70" i="2"/>
  <c r="T71" i="2"/>
  <c r="U71" i="2"/>
  <c r="V71" i="2"/>
  <c r="W71" i="2"/>
  <c r="T72" i="2"/>
  <c r="U72" i="2"/>
  <c r="V72" i="2"/>
  <c r="W72" i="2"/>
  <c r="T73" i="2"/>
  <c r="U73" i="2"/>
  <c r="V73" i="2"/>
  <c r="W73" i="2"/>
  <c r="T74" i="2"/>
  <c r="U74" i="2"/>
  <c r="V74" i="2"/>
  <c r="W74" i="2"/>
  <c r="T75" i="2"/>
  <c r="U75" i="2"/>
  <c r="V75" i="2"/>
  <c r="W75" i="2"/>
  <c r="T76" i="2"/>
  <c r="U76" i="2"/>
  <c r="V76" i="2"/>
  <c r="W76" i="2"/>
  <c r="T77" i="2"/>
  <c r="U77" i="2"/>
  <c r="V77" i="2"/>
  <c r="W77" i="2"/>
  <c r="T78" i="2"/>
  <c r="U78" i="2"/>
  <c r="V78" i="2"/>
  <c r="W78" i="2"/>
  <c r="T79" i="2"/>
  <c r="U79" i="2"/>
  <c r="V79" i="2"/>
  <c r="W79" i="2"/>
  <c r="T80" i="2"/>
  <c r="U80" i="2"/>
  <c r="V80" i="2"/>
  <c r="W80" i="2"/>
  <c r="T81" i="2"/>
  <c r="U81" i="2"/>
  <c r="V81" i="2"/>
  <c r="W81" i="2"/>
  <c r="T82" i="2"/>
  <c r="U82" i="2"/>
  <c r="V82" i="2"/>
  <c r="W82" i="2"/>
  <c r="T83" i="2"/>
  <c r="U83" i="2"/>
  <c r="V83" i="2"/>
  <c r="W83" i="2"/>
  <c r="T84" i="2"/>
  <c r="U84" i="2"/>
  <c r="V84" i="2"/>
  <c r="W84" i="2"/>
  <c r="T85" i="2"/>
  <c r="U85" i="2"/>
  <c r="V85" i="2"/>
  <c r="W85" i="2"/>
  <c r="T86" i="2"/>
  <c r="U86" i="2"/>
  <c r="V86" i="2"/>
  <c r="W86" i="2"/>
  <c r="T87" i="2"/>
  <c r="U87" i="2"/>
  <c r="V87" i="2"/>
  <c r="W87" i="2"/>
  <c r="T88" i="2"/>
  <c r="U88" i="2"/>
  <c r="V88" i="2"/>
  <c r="W88" i="2"/>
  <c r="T89" i="2"/>
  <c r="U89" i="2"/>
  <c r="V89" i="2"/>
  <c r="W89" i="2"/>
  <c r="T90" i="2"/>
  <c r="U90" i="2"/>
  <c r="V90" i="2"/>
  <c r="W90" i="2"/>
  <c r="T91" i="2"/>
  <c r="U91" i="2"/>
  <c r="V91" i="2"/>
  <c r="W91" i="2"/>
  <c r="T92" i="2"/>
  <c r="U92" i="2"/>
  <c r="V92" i="2"/>
  <c r="W92" i="2"/>
  <c r="T93" i="2"/>
  <c r="U93" i="2"/>
  <c r="V93" i="2"/>
  <c r="W93" i="2"/>
  <c r="T94" i="2"/>
  <c r="U94" i="2"/>
  <c r="V94" i="2"/>
  <c r="W94" i="2"/>
  <c r="T95" i="2"/>
  <c r="U95" i="2"/>
  <c r="V95" i="2"/>
  <c r="W95" i="2"/>
  <c r="T96" i="2"/>
  <c r="U96" i="2"/>
  <c r="V96" i="2"/>
  <c r="W96" i="2"/>
  <c r="T97" i="2"/>
  <c r="U97" i="2"/>
  <c r="V97" i="2"/>
  <c r="W97" i="2"/>
  <c r="T98" i="2"/>
  <c r="U98" i="2"/>
  <c r="V98" i="2"/>
  <c r="W98" i="2"/>
  <c r="T99" i="2"/>
  <c r="U99" i="2"/>
  <c r="V99" i="2"/>
  <c r="W99" i="2"/>
  <c r="T100" i="2"/>
  <c r="U100" i="2"/>
  <c r="V100" i="2"/>
  <c r="W100" i="2"/>
  <c r="T101" i="2"/>
  <c r="U101" i="2"/>
  <c r="V101" i="2"/>
  <c r="W101" i="2"/>
  <c r="T102" i="2"/>
  <c r="U102" i="2"/>
  <c r="V102" i="2"/>
  <c r="W102" i="2"/>
  <c r="T103" i="2"/>
  <c r="U103" i="2"/>
  <c r="V103" i="2"/>
  <c r="W103" i="2"/>
  <c r="T104" i="2"/>
  <c r="U104" i="2"/>
  <c r="V104" i="2"/>
  <c r="W104" i="2"/>
  <c r="T105" i="2"/>
  <c r="U105" i="2"/>
  <c r="V105" i="2"/>
  <c r="W105" i="2"/>
  <c r="T106" i="2"/>
  <c r="U106" i="2"/>
  <c r="V106" i="2"/>
  <c r="W106" i="2"/>
  <c r="T107" i="2"/>
  <c r="U107" i="2"/>
  <c r="V107" i="2"/>
  <c r="W107" i="2"/>
  <c r="T108" i="2"/>
  <c r="U108" i="2"/>
  <c r="V108" i="2"/>
  <c r="W108" i="2"/>
  <c r="T109" i="2"/>
  <c r="U109" i="2"/>
  <c r="V109" i="2"/>
  <c r="W109" i="2"/>
  <c r="T110" i="2"/>
  <c r="U110" i="2"/>
  <c r="V110" i="2"/>
  <c r="W110" i="2"/>
  <c r="T111" i="2"/>
  <c r="U111" i="2"/>
  <c r="V111" i="2"/>
  <c r="W111" i="2"/>
  <c r="T112" i="2"/>
  <c r="U112" i="2"/>
  <c r="V112" i="2"/>
  <c r="W112" i="2"/>
  <c r="T113" i="2"/>
  <c r="U113" i="2"/>
  <c r="V113" i="2"/>
  <c r="W113" i="2"/>
  <c r="T114" i="2"/>
  <c r="U114" i="2"/>
  <c r="V114" i="2"/>
  <c r="W114" i="2"/>
  <c r="T115" i="2"/>
  <c r="U115" i="2"/>
  <c r="V115" i="2"/>
  <c r="W115" i="2"/>
  <c r="T116" i="2"/>
  <c r="U116" i="2"/>
  <c r="V116" i="2"/>
  <c r="W116" i="2"/>
  <c r="T117" i="2"/>
  <c r="U117" i="2"/>
  <c r="V117" i="2"/>
  <c r="W117" i="2"/>
  <c r="T118" i="2"/>
  <c r="U118" i="2"/>
  <c r="V118" i="2"/>
  <c r="W118" i="2"/>
  <c r="T119" i="2"/>
  <c r="U119" i="2"/>
  <c r="V119" i="2"/>
  <c r="W119" i="2"/>
  <c r="T120" i="2"/>
  <c r="U120" i="2"/>
  <c r="V120" i="2"/>
  <c r="W120" i="2"/>
  <c r="T121" i="2"/>
  <c r="U121" i="2"/>
  <c r="V121" i="2"/>
  <c r="W121" i="2"/>
  <c r="T122" i="2"/>
  <c r="U122" i="2"/>
  <c r="V122" i="2"/>
  <c r="W122" i="2"/>
  <c r="T123" i="2"/>
  <c r="U123" i="2"/>
  <c r="V123" i="2"/>
  <c r="W123" i="2"/>
  <c r="T124" i="2"/>
  <c r="U124" i="2"/>
  <c r="V124" i="2"/>
  <c r="W124" i="2"/>
  <c r="T125" i="2"/>
  <c r="U125" i="2"/>
  <c r="V125" i="2"/>
  <c r="W125" i="2"/>
  <c r="T126" i="2"/>
  <c r="U126" i="2"/>
  <c r="V126" i="2"/>
  <c r="W126" i="2"/>
  <c r="T127" i="2"/>
  <c r="U127" i="2"/>
  <c r="V127" i="2"/>
  <c r="W127" i="2"/>
  <c r="T128" i="2"/>
  <c r="U128" i="2"/>
  <c r="V128" i="2"/>
  <c r="W128" i="2"/>
  <c r="T129" i="2"/>
  <c r="U129" i="2"/>
  <c r="V129" i="2"/>
  <c r="W129" i="2"/>
  <c r="T130" i="2"/>
  <c r="U130" i="2"/>
  <c r="V130" i="2"/>
  <c r="W130" i="2"/>
  <c r="T131" i="2"/>
  <c r="U131" i="2"/>
  <c r="V131" i="2"/>
  <c r="W131" i="2"/>
  <c r="T132" i="2"/>
  <c r="U132" i="2"/>
  <c r="V132" i="2"/>
  <c r="W132" i="2"/>
  <c r="T133" i="2"/>
  <c r="U133" i="2"/>
  <c r="V133" i="2"/>
  <c r="W133" i="2"/>
  <c r="T134" i="2"/>
  <c r="U134" i="2"/>
  <c r="V134" i="2"/>
  <c r="W134" i="2"/>
  <c r="T135" i="2"/>
  <c r="U135" i="2"/>
  <c r="V135" i="2"/>
  <c r="W135" i="2"/>
  <c r="T136" i="2"/>
  <c r="U136" i="2"/>
  <c r="V136" i="2"/>
  <c r="W136" i="2"/>
  <c r="T137" i="2"/>
  <c r="U137" i="2"/>
  <c r="V137" i="2"/>
  <c r="W137" i="2"/>
  <c r="T138" i="2"/>
  <c r="U138" i="2"/>
  <c r="V138" i="2"/>
  <c r="W138" i="2"/>
  <c r="T139" i="2"/>
  <c r="U139" i="2"/>
  <c r="V139" i="2"/>
  <c r="W139" i="2"/>
  <c r="T140" i="2"/>
  <c r="U140" i="2"/>
  <c r="V140" i="2"/>
  <c r="W140" i="2"/>
  <c r="T141" i="2"/>
  <c r="U141" i="2"/>
  <c r="V141" i="2"/>
  <c r="W141" i="2"/>
  <c r="T142" i="2"/>
  <c r="U142" i="2"/>
  <c r="V142" i="2"/>
  <c r="W142" i="2"/>
  <c r="T143" i="2"/>
  <c r="U143" i="2"/>
  <c r="V143" i="2"/>
  <c r="W143" i="2"/>
  <c r="T144" i="2"/>
  <c r="U144" i="2"/>
  <c r="V144" i="2"/>
  <c r="W144" i="2"/>
  <c r="T145" i="2"/>
  <c r="U145" i="2"/>
  <c r="V145" i="2"/>
  <c r="W145" i="2"/>
  <c r="T146" i="2"/>
  <c r="U146" i="2"/>
  <c r="V146" i="2"/>
  <c r="W146" i="2"/>
  <c r="T147" i="2"/>
  <c r="U147" i="2"/>
  <c r="V147" i="2"/>
  <c r="W147" i="2"/>
  <c r="T148" i="2"/>
  <c r="U148" i="2"/>
  <c r="V148" i="2"/>
  <c r="W148" i="2"/>
  <c r="T149" i="2"/>
  <c r="U149" i="2"/>
  <c r="V149" i="2"/>
  <c r="W149" i="2"/>
  <c r="T150" i="2"/>
  <c r="U150" i="2"/>
  <c r="V150" i="2"/>
  <c r="W150" i="2"/>
  <c r="T151" i="2"/>
  <c r="U151" i="2"/>
  <c r="V151" i="2"/>
  <c r="W151" i="2"/>
  <c r="T152" i="2"/>
  <c r="U152" i="2"/>
  <c r="V152" i="2"/>
  <c r="W152" i="2"/>
  <c r="T153" i="2"/>
  <c r="U153" i="2"/>
  <c r="V153" i="2"/>
  <c r="W153" i="2"/>
  <c r="T154" i="2"/>
  <c r="U154" i="2"/>
  <c r="V154" i="2"/>
  <c r="W154" i="2"/>
  <c r="T155" i="2"/>
  <c r="U155" i="2"/>
  <c r="V155" i="2"/>
  <c r="W155" i="2"/>
  <c r="T156" i="2"/>
  <c r="U156" i="2"/>
  <c r="V156" i="2"/>
  <c r="W156" i="2"/>
  <c r="T157" i="2"/>
  <c r="U157" i="2"/>
  <c r="V157" i="2"/>
  <c r="W157" i="2"/>
  <c r="T158" i="2"/>
  <c r="U158" i="2"/>
  <c r="V158" i="2"/>
  <c r="W158" i="2"/>
  <c r="T159" i="2"/>
  <c r="U159" i="2"/>
  <c r="V159" i="2"/>
  <c r="W159" i="2"/>
  <c r="T160" i="2"/>
  <c r="U160" i="2"/>
  <c r="V160" i="2"/>
  <c r="W160" i="2"/>
  <c r="T161" i="2"/>
  <c r="U161" i="2"/>
  <c r="V161" i="2"/>
  <c r="W161" i="2"/>
  <c r="T162" i="2"/>
  <c r="U162" i="2"/>
  <c r="V162" i="2"/>
  <c r="W162" i="2"/>
  <c r="U3" i="2"/>
  <c r="V3" i="2"/>
  <c r="W3" i="2"/>
  <c r="T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3" i="2"/>
  <c r="AW4" i="2" s="1"/>
  <c r="K4" i="2"/>
  <c r="K49" i="1"/>
  <c r="K50" i="1"/>
  <c r="K35" i="1"/>
  <c r="K36" i="1"/>
  <c r="K37" i="1"/>
  <c r="K38" i="1"/>
  <c r="K39" i="1"/>
  <c r="K40" i="1"/>
  <c r="K41" i="1"/>
  <c r="K42" i="1"/>
  <c r="K43" i="1"/>
  <c r="K44" i="1"/>
  <c r="K45" i="1"/>
  <c r="K46" i="1"/>
  <c r="K47" i="1"/>
  <c r="K48" i="1"/>
  <c r="K19" i="1"/>
  <c r="K20" i="1"/>
  <c r="K21" i="1"/>
  <c r="K22" i="1"/>
  <c r="K23" i="1"/>
  <c r="K24" i="1"/>
  <c r="K25" i="1"/>
  <c r="K26" i="1"/>
  <c r="K27" i="1"/>
  <c r="K28" i="1"/>
  <c r="K29" i="1"/>
  <c r="K30" i="1"/>
  <c r="K31" i="1"/>
  <c r="K32" i="1"/>
  <c r="K33" i="1"/>
  <c r="K34" i="1"/>
  <c r="J162" i="2"/>
  <c r="K162" i="2" s="1"/>
  <c r="J161" i="2"/>
  <c r="K161" i="2" s="1"/>
  <c r="J160" i="2"/>
  <c r="K160" i="2" s="1"/>
  <c r="J159" i="2"/>
  <c r="K159" i="2" s="1"/>
  <c r="J158" i="2"/>
  <c r="K158" i="2" s="1"/>
  <c r="J157" i="2"/>
  <c r="K157" i="2" s="1"/>
  <c r="J156" i="2"/>
  <c r="K156" i="2" s="1"/>
  <c r="J155" i="2"/>
  <c r="K155" i="2" s="1"/>
  <c r="J154" i="2"/>
  <c r="K154" i="2" s="1"/>
  <c r="J153" i="2"/>
  <c r="K153" i="2" s="1"/>
  <c r="J152" i="2"/>
  <c r="K152" i="2" s="1"/>
  <c r="J151" i="2"/>
  <c r="K151" i="2" s="1"/>
  <c r="J150" i="2"/>
  <c r="K150" i="2" s="1"/>
  <c r="J149" i="2"/>
  <c r="K149" i="2" s="1"/>
  <c r="J148" i="2"/>
  <c r="K148" i="2" s="1"/>
  <c r="J147" i="2"/>
  <c r="K147" i="2" s="1"/>
  <c r="J146" i="2"/>
  <c r="K146" i="2" s="1"/>
  <c r="J145" i="2"/>
  <c r="K145" i="2" s="1"/>
  <c r="J144" i="2"/>
  <c r="K144" i="2" s="1"/>
  <c r="J143" i="2"/>
  <c r="K143" i="2" s="1"/>
  <c r="J142" i="2"/>
  <c r="K142" i="2" s="1"/>
  <c r="J141" i="2"/>
  <c r="K141" i="2" s="1"/>
  <c r="J140" i="2"/>
  <c r="K140" i="2" s="1"/>
  <c r="J139" i="2"/>
  <c r="K139" i="2" s="1"/>
  <c r="J138" i="2"/>
  <c r="K138" i="2" s="1"/>
  <c r="J137" i="2"/>
  <c r="K137" i="2" s="1"/>
  <c r="J136" i="2"/>
  <c r="K136" i="2" s="1"/>
  <c r="J135" i="2"/>
  <c r="K135" i="2" s="1"/>
  <c r="J134" i="2"/>
  <c r="K134" i="2" s="1"/>
  <c r="J133" i="2"/>
  <c r="K133" i="2" s="1"/>
  <c r="J132" i="2"/>
  <c r="K132" i="2" s="1"/>
  <c r="J131" i="2"/>
  <c r="K131" i="2" s="1"/>
  <c r="J130" i="2"/>
  <c r="K130" i="2" s="1"/>
  <c r="J129" i="2"/>
  <c r="K129" i="2" s="1"/>
  <c r="J128" i="2"/>
  <c r="K128" i="2" s="1"/>
  <c r="J127" i="2"/>
  <c r="K127" i="2" s="1"/>
  <c r="J126" i="2"/>
  <c r="K126" i="2" s="1"/>
  <c r="J125" i="2"/>
  <c r="K125" i="2" s="1"/>
  <c r="J124" i="2"/>
  <c r="K124" i="2" s="1"/>
  <c r="J123" i="2"/>
  <c r="K123" i="2" s="1"/>
  <c r="J122" i="2"/>
  <c r="K122" i="2" s="1"/>
  <c r="J121" i="2"/>
  <c r="K121" i="2" s="1"/>
  <c r="J120" i="2"/>
  <c r="K120" i="2" s="1"/>
  <c r="J119" i="2"/>
  <c r="K119" i="2" s="1"/>
  <c r="J118" i="2"/>
  <c r="K118" i="2" s="1"/>
  <c r="J117" i="2"/>
  <c r="K117" i="2" s="1"/>
  <c r="J116" i="2"/>
  <c r="K116" i="2" s="1"/>
  <c r="J115" i="2"/>
  <c r="K115" i="2" s="1"/>
  <c r="J114" i="2"/>
  <c r="K114" i="2" s="1"/>
  <c r="J113" i="2"/>
  <c r="K113" i="2" s="1"/>
  <c r="J112" i="2"/>
  <c r="K112" i="2" s="1"/>
  <c r="J111" i="2"/>
  <c r="K111" i="2" s="1"/>
  <c r="J110" i="2"/>
  <c r="K110" i="2" s="1"/>
  <c r="J109" i="2"/>
  <c r="K109" i="2" s="1"/>
  <c r="J108" i="2"/>
  <c r="K108" i="2" s="1"/>
  <c r="J107" i="2"/>
  <c r="K107" i="2" s="1"/>
  <c r="J106" i="2"/>
  <c r="K106" i="2" s="1"/>
  <c r="J105" i="2"/>
  <c r="K105" i="2" s="1"/>
  <c r="J104" i="2"/>
  <c r="K104" i="2" s="1"/>
  <c r="J103" i="2"/>
  <c r="K103" i="2" s="1"/>
  <c r="J102" i="2"/>
  <c r="K102" i="2" s="1"/>
  <c r="J101" i="2"/>
  <c r="K101" i="2" s="1"/>
  <c r="J100" i="2"/>
  <c r="K100" i="2" s="1"/>
  <c r="J99" i="2"/>
  <c r="K99" i="2" s="1"/>
  <c r="J98" i="2"/>
  <c r="K98" i="2" s="1"/>
  <c r="J97" i="2"/>
  <c r="K97" i="2" s="1"/>
  <c r="J96" i="2"/>
  <c r="K96" i="2" s="1"/>
  <c r="J95" i="2"/>
  <c r="K95" i="2" s="1"/>
  <c r="J94" i="2"/>
  <c r="K94" i="2" s="1"/>
  <c r="J93" i="2"/>
  <c r="K93" i="2" s="1"/>
  <c r="J92" i="2"/>
  <c r="K92" i="2" s="1"/>
  <c r="J91" i="2"/>
  <c r="K91" i="2" s="1"/>
  <c r="J90" i="2"/>
  <c r="K90" i="2" s="1"/>
  <c r="J89" i="2"/>
  <c r="K89" i="2" s="1"/>
  <c r="J88" i="2"/>
  <c r="K88" i="2" s="1"/>
  <c r="J87" i="2"/>
  <c r="K87" i="2" s="1"/>
  <c r="J86" i="2"/>
  <c r="K86" i="2" s="1"/>
  <c r="J85" i="2"/>
  <c r="K85" i="2" s="1"/>
  <c r="J84" i="2"/>
  <c r="K84" i="2" s="1"/>
  <c r="J83" i="2"/>
  <c r="K83" i="2" s="1"/>
  <c r="J82" i="2"/>
  <c r="K82" i="2" s="1"/>
  <c r="J81" i="2"/>
  <c r="K81" i="2" s="1"/>
  <c r="J80" i="2"/>
  <c r="K80" i="2" s="1"/>
  <c r="J79" i="2"/>
  <c r="K79" i="2" s="1"/>
  <c r="J78" i="2"/>
  <c r="K78" i="2" s="1"/>
  <c r="J77" i="2"/>
  <c r="K77" i="2" s="1"/>
  <c r="J76" i="2"/>
  <c r="K76" i="2" s="1"/>
  <c r="J75" i="2"/>
  <c r="K75" i="2" s="1"/>
  <c r="J74" i="2"/>
  <c r="K74" i="2" s="1"/>
  <c r="J73" i="2"/>
  <c r="K73" i="2" s="1"/>
  <c r="J72" i="2"/>
  <c r="K72" i="2" s="1"/>
  <c r="J71" i="2"/>
  <c r="K71" i="2" s="1"/>
  <c r="J70" i="2"/>
  <c r="K70" i="2" s="1"/>
  <c r="J69" i="2"/>
  <c r="K69" i="2" s="1"/>
  <c r="J68" i="2"/>
  <c r="K68" i="2" s="1"/>
  <c r="J67" i="2"/>
  <c r="K67" i="2" s="1"/>
  <c r="J66" i="2"/>
  <c r="K66" i="2" s="1"/>
  <c r="J65" i="2"/>
  <c r="K65" i="2" s="1"/>
  <c r="J64" i="2"/>
  <c r="K64" i="2" s="1"/>
  <c r="J63" i="2"/>
  <c r="K63" i="2" s="1"/>
  <c r="J62" i="2"/>
  <c r="K62" i="2" s="1"/>
  <c r="J61" i="2"/>
  <c r="K61" i="2" s="1"/>
  <c r="J60" i="2"/>
  <c r="K60" i="2" s="1"/>
  <c r="J59" i="2"/>
  <c r="K59" i="2" s="1"/>
  <c r="J58" i="2"/>
  <c r="K58" i="2" s="1"/>
  <c r="J57" i="2"/>
  <c r="K57" i="2" s="1"/>
  <c r="J56" i="2"/>
  <c r="K56" i="2" s="1"/>
  <c r="J55" i="2"/>
  <c r="K55" i="2" s="1"/>
  <c r="J54" i="2"/>
  <c r="K54" i="2" s="1"/>
  <c r="J53" i="2"/>
  <c r="K53" i="2" s="1"/>
  <c r="J52" i="2"/>
  <c r="K52" i="2" s="1"/>
  <c r="J51" i="2"/>
  <c r="K51" i="2" s="1"/>
  <c r="J50" i="2"/>
  <c r="K50" i="2" s="1"/>
  <c r="J49" i="2"/>
  <c r="K49" i="2" s="1"/>
  <c r="J48" i="2"/>
  <c r="K48" i="2" s="1"/>
  <c r="J47" i="2"/>
  <c r="K47" i="2" s="1"/>
  <c r="J46" i="2"/>
  <c r="K46" i="2" s="1"/>
  <c r="J45" i="2"/>
  <c r="K45" i="2" s="1"/>
  <c r="J44" i="2"/>
  <c r="K44" i="2" s="1"/>
  <c r="J43" i="2"/>
  <c r="K43" i="2" s="1"/>
  <c r="J42" i="2"/>
  <c r="K42" i="2" s="1"/>
  <c r="J41" i="2"/>
  <c r="K41" i="2" s="1"/>
  <c r="J40" i="2"/>
  <c r="K40" i="2" s="1"/>
  <c r="J39" i="2"/>
  <c r="K39" i="2" s="1"/>
  <c r="J38" i="2"/>
  <c r="K38" i="2" s="1"/>
  <c r="J37" i="2"/>
  <c r="K37" i="2" s="1"/>
  <c r="J36" i="2"/>
  <c r="K36" i="2" s="1"/>
  <c r="J35" i="2"/>
  <c r="K35" i="2" s="1"/>
  <c r="J34" i="2"/>
  <c r="K34" i="2" s="1"/>
  <c r="J33" i="2"/>
  <c r="K33" i="2" s="1"/>
  <c r="J32" i="2"/>
  <c r="K32" i="2" s="1"/>
  <c r="J31" i="2"/>
  <c r="K31" i="2" s="1"/>
  <c r="J30" i="2"/>
  <c r="K30" i="2" s="1"/>
  <c r="J29" i="2"/>
  <c r="K29" i="2" s="1"/>
  <c r="J28" i="2"/>
  <c r="K28" i="2" s="1"/>
  <c r="J27" i="2"/>
  <c r="K27" i="2" s="1"/>
  <c r="J26" i="2"/>
  <c r="K26" i="2" s="1"/>
  <c r="J25" i="2"/>
  <c r="K25" i="2" s="1"/>
  <c r="J24" i="2"/>
  <c r="K24" i="2" s="1"/>
  <c r="J23" i="2"/>
  <c r="K23" i="2" s="1"/>
  <c r="J22" i="2"/>
  <c r="K22" i="2" s="1"/>
  <c r="J21" i="2"/>
  <c r="K21" i="2" s="1"/>
  <c r="J20" i="2"/>
  <c r="K20" i="2" s="1"/>
  <c r="J19" i="2"/>
  <c r="K19" i="2" s="1"/>
  <c r="J18" i="2"/>
  <c r="K18" i="2" s="1"/>
  <c r="AK13" i="2" s="1"/>
  <c r="J17" i="2"/>
  <c r="K17" i="2" s="1"/>
  <c r="AN11" i="2" s="1"/>
  <c r="J16" i="2"/>
  <c r="K16" i="2" s="1"/>
  <c r="AK10" i="2" s="1"/>
  <c r="J15" i="2"/>
  <c r="K15" i="2" s="1"/>
  <c r="AN9" i="2" s="1"/>
  <c r="J14" i="2"/>
  <c r="K14" i="2" s="1"/>
  <c r="AK8" i="2" s="1"/>
  <c r="J13" i="2"/>
  <c r="K13" i="2" s="1"/>
  <c r="AN8" i="2" s="1"/>
  <c r="J12" i="2"/>
  <c r="K12" i="2" s="1"/>
  <c r="AN7" i="2" s="1"/>
  <c r="J11" i="2"/>
  <c r="K11" i="2" s="1"/>
  <c r="AK7" i="2" s="1"/>
  <c r="J10" i="2"/>
  <c r="K10" i="2" s="1"/>
  <c r="AN6" i="2" s="1"/>
  <c r="J9" i="2"/>
  <c r="K9" i="2" s="1"/>
  <c r="AK6" i="2" s="1"/>
  <c r="J8" i="2"/>
  <c r="K8" i="2" s="1"/>
  <c r="AN5" i="2" s="1"/>
  <c r="J7" i="2"/>
  <c r="K7" i="2" s="1"/>
  <c r="AK5" i="2" s="1"/>
  <c r="J6" i="2"/>
  <c r="K6" i="2" s="1"/>
  <c r="J5" i="2"/>
  <c r="K5" i="2" s="1"/>
  <c r="J4" i="2"/>
  <c r="J3" i="2"/>
  <c r="K3" i="2" s="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4" i="1"/>
  <c r="K4" i="1" s="1"/>
  <c r="J5" i="1"/>
  <c r="K5" i="1" s="1"/>
  <c r="J6" i="1"/>
  <c r="K6" i="1" s="1"/>
  <c r="J7" i="1"/>
  <c r="K7" i="1" s="1"/>
  <c r="J8" i="1"/>
  <c r="K8" i="1" s="1"/>
  <c r="J9" i="1"/>
  <c r="K9" i="1" s="1"/>
  <c r="J10" i="1"/>
  <c r="K10" i="1" s="1"/>
  <c r="J11" i="1"/>
  <c r="K11" i="1" s="1"/>
  <c r="J12" i="1"/>
  <c r="K12" i="1" s="1"/>
  <c r="J13" i="1"/>
  <c r="K13" i="1" s="1"/>
  <c r="J14" i="1"/>
  <c r="K14" i="1" s="1"/>
  <c r="J15" i="1"/>
  <c r="K15" i="1" s="1"/>
  <c r="J16" i="1"/>
  <c r="K16" i="1" s="1"/>
  <c r="J17" i="1"/>
  <c r="K17" i="1" s="1"/>
  <c r="J18" i="1"/>
  <c r="K18" i="1" s="1"/>
  <c r="J19" i="1"/>
  <c r="J20" i="1"/>
  <c r="J21" i="1"/>
  <c r="J22" i="1"/>
  <c r="J3" i="1"/>
  <c r="K3" i="1" s="1"/>
  <c r="AK3" i="2" l="1"/>
  <c r="AH13" i="2"/>
  <c r="AH14" i="2"/>
  <c r="AX23" i="3"/>
  <c r="AZ19" i="3"/>
  <c r="BA23" i="3"/>
  <c r="BA20" i="3"/>
  <c r="AZ20" i="3"/>
  <c r="AZ23" i="3"/>
  <c r="AX22" i="3"/>
  <c r="AX20" i="3"/>
  <c r="AX19" i="3"/>
  <c r="AI13" i="3"/>
  <c r="AI14" i="3"/>
  <c r="AW22" i="3"/>
  <c r="AW20" i="3"/>
  <c r="AW19" i="3"/>
  <c r="AY20" i="3"/>
  <c r="AY19" i="3"/>
  <c r="AY22" i="3"/>
  <c r="AW8" i="2"/>
  <c r="BA16" i="2"/>
  <c r="BA12" i="2"/>
  <c r="AN4" i="2"/>
  <c r="AY17" i="2"/>
  <c r="AZ16" i="2"/>
  <c r="AX11" i="2"/>
  <c r="AX7" i="2"/>
  <c r="AW13" i="2"/>
  <c r="AY12" i="2"/>
  <c r="AY10" i="2"/>
  <c r="AY14" i="2"/>
  <c r="AW18" i="2"/>
  <c r="AZ5" i="2"/>
  <c r="AY5" i="2"/>
  <c r="AX15" i="2"/>
  <c r="AX9" i="2"/>
  <c r="AX5" i="2"/>
  <c r="BA8" i="2"/>
  <c r="BA4" i="2"/>
  <c r="AW14" i="2"/>
  <c r="AX14" i="2"/>
  <c r="AX10" i="2"/>
  <c r="AX6" i="2"/>
  <c r="AW11" i="2"/>
  <c r="AW17" i="2"/>
  <c r="AW9" i="2"/>
  <c r="V163" i="2"/>
  <c r="AY3" i="2"/>
  <c r="AY15" i="2"/>
  <c r="AY13" i="2"/>
  <c r="AY11" i="2"/>
  <c r="AY9" i="2"/>
  <c r="AY7" i="2"/>
  <c r="AW16" i="2"/>
  <c r="U163" i="2"/>
  <c r="AX17" i="2"/>
  <c r="AX13" i="2"/>
  <c r="AW5" i="2"/>
  <c r="AX16" i="2"/>
  <c r="AX8" i="2"/>
  <c r="AX4" i="2"/>
  <c r="T163" i="2"/>
  <c r="BA3" i="2"/>
  <c r="BA15" i="2"/>
  <c r="BA11" i="2"/>
  <c r="BA7" i="2"/>
  <c r="AW10" i="2"/>
  <c r="AZ17" i="2"/>
  <c r="AZ13" i="2"/>
  <c r="AZ9" i="2"/>
  <c r="AW7" i="2"/>
  <c r="BA18" i="2"/>
  <c r="BA14" i="2"/>
  <c r="BA10" i="2"/>
  <c r="BA6" i="2"/>
  <c r="AN3" i="2"/>
  <c r="AW6" i="2"/>
  <c r="AZ18" i="2"/>
  <c r="AZ14" i="2"/>
  <c r="AZ12" i="2"/>
  <c r="AZ10" i="2"/>
  <c r="AZ8" i="2"/>
  <c r="AZ6" i="2"/>
  <c r="V164" i="2"/>
  <c r="AW12" i="2"/>
  <c r="AX18" i="2"/>
  <c r="AX12" i="2"/>
  <c r="BA17" i="2"/>
  <c r="BA13" i="2"/>
  <c r="BA9" i="2"/>
  <c r="W164" i="2"/>
  <c r="AW3" i="2"/>
  <c r="W163" i="2"/>
  <c r="AZ15" i="2"/>
  <c r="AZ11" i="2"/>
  <c r="AZ7" i="2"/>
  <c r="AW15" i="2"/>
  <c r="AY18" i="2"/>
  <c r="AY16" i="2"/>
  <c r="AY8" i="2"/>
  <c r="AY6" i="2"/>
  <c r="AY4" i="2"/>
  <c r="AK4" i="2"/>
  <c r="U164" i="2"/>
  <c r="AX3" i="2"/>
  <c r="AX19" i="2" s="1"/>
  <c r="BA5" i="2"/>
  <c r="T164" i="2"/>
  <c r="W165" i="2"/>
  <c r="S163" i="2"/>
  <c r="S164" i="2"/>
  <c r="U165" i="2"/>
  <c r="AZ3" i="2"/>
  <c r="V165" i="2"/>
  <c r="S165" i="2"/>
  <c r="T165" i="2"/>
  <c r="AZ4" i="2"/>
  <c r="AH3" i="2"/>
  <c r="AH4" i="2"/>
  <c r="AH5" i="2"/>
  <c r="AH6" i="2"/>
  <c r="AH7" i="2"/>
  <c r="AH8" i="2"/>
  <c r="AH9" i="2"/>
  <c r="AH10" i="2"/>
  <c r="AH11" i="2"/>
  <c r="AH12" i="2"/>
  <c r="AI14" i="2" l="1"/>
  <c r="AI13" i="2"/>
  <c r="AW19" i="2"/>
  <c r="AX23" i="2"/>
  <c r="AY22" i="2"/>
  <c r="BA23" i="2"/>
  <c r="AW23" i="2"/>
  <c r="AY20" i="2"/>
  <c r="AY23" i="2"/>
  <c r="BA19" i="2"/>
  <c r="AY19" i="2"/>
  <c r="AW22" i="2"/>
  <c r="AW20" i="2"/>
  <c r="AZ23" i="2"/>
  <c r="BA20" i="2"/>
  <c r="AZ22" i="2"/>
  <c r="AZ20" i="2"/>
  <c r="AZ19" i="2"/>
  <c r="AX20" i="2"/>
  <c r="AX22" i="2"/>
  <c r="BA2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tc={51FFDFB5-58A8-4734-9941-916496CE344D}</author>
    <author>tc={BF9D4057-3FEC-46C5-B928-8DE46E9543AB}</author>
    <author>tc={7FF6DAF9-81A9-455B-BDB6-1CD1BB29FD99}</author>
  </authors>
  <commentList>
    <comment ref="D12" authorId="0" shapeId="0" xr:uid="{51FFDFB5-58A8-4734-9941-916496CE344D}">
      <text>
        <t>[Threaded comment]
Your version of Excel allows you to read this threaded comment; however, any edits to it will get removed if the file is opened in a newer version of Excel. Learn more: https://go.microsoft.com/fwlink/?linkid=870924
Comment:
    Il tuo log mostra che, per il singolo evento di caricamento/cambio di step (dal 9 al 10), il callback update_step_content viene eseguito due volte consecutivamente (o quasi) e produce due risultati diversi.
Reply:
    non ho capito
Reply:
    avevo notato che il codice eseguiva la chiamata a gemini 2 volte per ogni step. La seconda chiamata generava una configurazioen differente dalla prima a volte. e nell'interfacci aveniva mostrato il risultato della prima configurazione. L'ho notato in questo step</t>
      </text>
    </comment>
    <comment ref="Q61" authorId="1" shapeId="0" xr:uid="{BF9D4057-3FEC-46C5-B928-8DE46E9543AB}">
      <text>
        <t>[Threaded comment]
Your version of Excel allows you to read this threaded comment; however, any edits to it will get removed if the file is opened in a newer version of Excel. Learn more: https://go.microsoft.com/fwlink/?linkid=870924
Comment:
    ================================================================================
USER 4 - STEP 11
================================================================================
CURRENT USER (4) PREVIOUS INTERACTIONS:
 Step 1: viewed [short_text, single_pieces]
 Step 2: viewed [assembly]
 Step 3: viewed [short_text, single_pieces]
 Step 4: viewed [single_pieces, assembly]
 Step 5: viewed [short_text, single_pieces]
 Step 6: viewed [assembly]
 Step 7: viewed [short_text, single_pieces]
 Step 8: viewed [assembly]
 Step 9: viewed [short_text, single_pieces]
 Step 10: viewed [assembly]
OTHER USERS' AGGREGATED PATTERNS:
 Based on data from 3 previous users:
  Step 1: short_text(100%), single_pieces(33%)
  Step 2: short_text(100%), long_text(33%), single_pieces(67%), assembly(67%), video(33%)
  Step 3: short_text(67%), single_pieces(33%)
  Step 4: short_text(67%), long_text(33%), single_pieces(33%), assembly(67%), video(67%)
  Step 5: short_text(67%), single_pieces(33%)
  Step 6: short_text(67%), assembly(100%)
  Step 7: short_text(67%), single_pieces(33%)
  Step 8: short_text(67%), assembly(100%)
  Step 9: short_text(67%), single_pieces(33%)
  Step 10: short_text(67%), single_pieces(33%), assembly(100%)
  Step 11: short_text(67%), single_pieces(33%), assembly(100%)
================================================================================
Aggregated prefs for step 11: {'short_text': 0.6666666666666666, 'long_text': 0.0, 'single_pieces': 0.3333333333333333, 'assembly': 1.0, 'video': 0.0}
Gemini adaptation: Based on the user's history, they consistently preferred viewing the 'assembly' image for assembly steps. Aggregated preferences for this specific step also show 100% of users viewed 'assembly'. Therefore, the 'assembly' image is made visible. 'Short_text' is made visible as it's a concise instruction and generally preferred by other users (66.7%). 'Long_text' is hidden to avoid redundancy with 'short_text'. The 'video' is made visible as it's an assembly step and video often aids in understanding complex movements, and it was highly preferred in similar assembly steps by other users (e.g., Step 4 had 67% video preference). 'Single_pieces' is hidden as the user's main focus for assembly steps is the final assembly, and aggregated preference for 'single_pieces' is low (33.3%).
After validation: {'short_text': True, 'long_text': False, 'single_pieces': False, 'assembly': True, 'video': True}
================================================================================</t>
      </text>
    </comment>
    <comment ref="O65" authorId="2" shapeId="0" xr:uid="{7FF6DAF9-81A9-455B-BDB6-1CD1BB29FD99}">
      <text>
        <t>[Threaded comment]
Your version of Excel allows you to read this threaded comment; however, any edits to it will get removed if the file is opened in a newer version of Excel. Learn more: https://go.microsoft.com/fwlink/?linkid=870924
Comment:
    no da u giusto peso alle iterazione storiche dell'utente con quelle aggregate degli altri:
USER 4 - STEP 15
================================================================================
CURRENT USER (4) PREVIOUS INTERACTIONS:
 Step 1: viewed [short_text, single_pieces]
 Step 2: viewed [assembly]
 Step 3: viewed [short_text, single_pieces]
 Step 4: viewed [single_pieces, assembly]
 Step 5: viewed [short_text, single_pieces]
 Step 6: viewed [assembly]
 Step 7: viewed [short_text, single_pieces]
 Step 8: viewed [assembly]
 Step 9: viewed [short_text, single_pieces]
 Step 10: viewed [assembly]
 Step 11: viewed [assembly]
 Step 12: viewed [short_text, single_pieces]
 Step 13: viewed [assembly]
 Step 14: viewed [short_text, single_pieces]
OTHER USERS' AGGREGATED PATTERNS:
 Based on data from 3 previous users:
  Step 1: short_text(100%), single_pieces(33%)
  Step 2: short_text(100%), long_text(33%), single_pieces(67%), assembly(67%), video(33%)
  Step 3: short_text(67%), single_pieces(33%)
  Step 4: short_text(67%), long_text(33%), single_pieces(33%), assembly(67%), video(67%)
  Step 5: short_text(67%), single_pieces(33%)
  Step 6: short_text(67%), assembly(100%)
  Step 7: short_text(67%), single_pieces(33%)
  Step 8: short_text(67%), assembly(100%)
  Step 9: short_text(67%), single_pieces(33%)
  Step 10: short_text(67%), single_pieces(33%), assembly(100%)
  Step 11: short_text(67%), single_pieces(33%), assembly(100%)
  Step 12: short_text(67%), single_pieces(33%)
  Step 13: short_text(67%), long_text(33%), assembly(100%), video(67%)
  Step 14: short_text(67%), single_pieces(33%)
  Step 15: short_text(67%), assembly(67%), video(33%)
================================================================================
Aggregated prefs for step 15: {'short_text': 0.6666666666666666, 'long_text': 0.0, 'single_pieces': 0.0, 'assembly': 0.6666666666666666, 'video': 0.3333333333333333}
Gemini adaptation: Based on User 4's interaction history, they consistently view the 'assembly' image in assembly steps (e.g., Steps 2, 6, 8, 10, 11, 13). Therefore, 'assembly' is set to true. The user also viewed 'single_pieces' in a previous assembly step (Step 4), which is useful for identifying the components before assembly, so it is also set to true. While the user hasn't shown a strong preference for text in assembly steps, 'short_text' is made visible to provide a concise instruction, aligning with the 66.7% preference from other users for this step. 'Long_text' is hidden to avoid redundancy and because 'short_text' is preferred. 'Video' is set to false as it has a lower aggregated preference (33.3%) and the current user has not shown a specific interest in videos for similar steps.
After validation: {'short_text': True, 'long_text': False, 'single_pieces': True, 'assembly': True, 'video': False}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Masiero Sara</author>
    <author>tc={579F19EA-4606-DB42-A780-81EA47B2C473}</author>
  </authors>
  <commentList>
    <comment ref="S1" authorId="0" shapeId="0" xr:uid="{8932E5E9-E1F6-4EF9-9D89-BA10FF3BA8F6}">
      <text>
        <r>
          <rPr>
            <sz val="12"/>
            <color theme="1"/>
            <rFont val="Aptos Narrow"/>
            <family val="2"/>
            <scheme val="minor"/>
          </rPr>
          <t>Masiero Sara:
1 se la statistica ha fatto la previsione giusta. 0 se non coincide con la scelta dell'utente</t>
        </r>
      </text>
    </comment>
    <comment ref="D12" authorId="1" shapeId="0" xr:uid="{579F19EA-4606-DB42-A780-81EA47B2C473}">
      <text>
        <t>[Threaded comment]
Your version of Excel allows you to read this threaded comment; however, any edits to it will get removed if the file is opened in a newer version of Excel. Learn more: https://go.microsoft.com/fwlink/?linkid=870924
Comment:
    Il tuo log mostra che, per il singolo evento di caricamento/cambio di step (dal 9 al 10), il callback update_step_content viene eseguito due volte consecutivamente (o quasi) e produce due risultati diversi.
Reply:
    non ho capito
Reply:
    avevo notato che il codice eseguiva la chiamata a gemini 2 volte per ogni step. La seconda chiamata generava una configurazioen differente dalla prima a volte. e nell'interfacci aveniva mostrato il risultato della prima configurazione. L'ho notato in questo step</t>
      </text>
    </comment>
  </commentList>
</comments>
</file>

<file path=xl/sharedStrings.xml><?xml version="1.0" encoding="utf-8"?>
<sst xmlns="http://schemas.openxmlformats.org/spreadsheetml/2006/main" count="2216" uniqueCount="59">
  <si>
    <t>RISPOSTE VERE DEGLI UTENTI</t>
  </si>
  <si>
    <t>SUGGERIMENTI GEMINI</t>
  </si>
  <si>
    <t>experiment_id</t>
  </si>
  <si>
    <t>action</t>
  </si>
  <si>
    <t>step_id</t>
  </si>
  <si>
    <t>step_name</t>
  </si>
  <si>
    <t>short_text_viewed</t>
  </si>
  <si>
    <t>long_text_viewed</t>
  </si>
  <si>
    <t>single_pieces_viewed</t>
  </si>
  <si>
    <t>assembly_viewed</t>
  </si>
  <si>
    <t>video_viewed</t>
  </si>
  <si>
    <t>PUNTEGGIO</t>
  </si>
  <si>
    <t>navigate_next</t>
  </si>
  <si>
    <t>1.0</t>
  </si>
  <si>
    <t>Withdraw Components for PIECE 1.0</t>
  </si>
  <si>
    <t>0.0</t>
  </si>
  <si>
    <t>Assembly PIECE 1</t>
  </si>
  <si>
    <t>Withdraw Components for PIECE 2</t>
  </si>
  <si>
    <t>Assembly PIECE 2</t>
  </si>
  <si>
    <t>Withdraw Components for PIECE 3</t>
  </si>
  <si>
    <t>Assembly PIECE 3</t>
  </si>
  <si>
    <t>Withdraw Components for PIECE 4</t>
  </si>
  <si>
    <t>Assembly PIECE 4</t>
  </si>
  <si>
    <t>Withdraw Components for PIECE 5</t>
  </si>
  <si>
    <t>Assembly PIECE 5</t>
  </si>
  <si>
    <t>Assembly PIECE 6</t>
  </si>
  <si>
    <t>Withdraw Components for PIECE 7</t>
  </si>
  <si>
    <t>Assembly PIECE 7</t>
  </si>
  <si>
    <t>Withdraw Components for PIECE 8</t>
  </si>
  <si>
    <t>Assembly PIECE 8</t>
  </si>
  <si>
    <t>navigate_to_thankyou</t>
  </si>
  <si>
    <t>Final Control</t>
  </si>
  <si>
    <t>Withdraw Components for PIECE 1</t>
  </si>
  <si>
    <t>Benchmark</t>
  </si>
  <si>
    <t>Score</t>
  </si>
  <si>
    <t>short_text_ok</t>
  </si>
  <si>
    <t>long_text_ok</t>
  </si>
  <si>
    <t>single_pieces_ok</t>
  </si>
  <si>
    <t>assembly_ok</t>
  </si>
  <si>
    <t>video_ok</t>
  </si>
  <si>
    <t>Mean_score</t>
  </si>
  <si>
    <t>step_with</t>
  </si>
  <si>
    <t>step_ass</t>
  </si>
  <si>
    <t>X</t>
  </si>
  <si>
    <t>step_control</t>
  </si>
  <si>
    <t>Mean_exp</t>
  </si>
  <si>
    <t>DS_exp</t>
  </si>
  <si>
    <t>Mean_step</t>
  </si>
  <si>
    <t>DS_step</t>
  </si>
  <si>
    <t>Mean_with</t>
  </si>
  <si>
    <t>Mean_ass</t>
  </si>
  <si>
    <t>Mean_quality</t>
  </si>
  <si>
    <t>Total</t>
  </si>
  <si>
    <t>Mean</t>
  </si>
  <si>
    <t>DS</t>
  </si>
  <si>
    <t>8b</t>
  </si>
  <si>
    <t>SUGGERIMENTI STATISTICA</t>
  </si>
  <si>
    <t>STATISTICA</t>
  </si>
  <si>
    <t>GEMINI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</si>
</sst>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font>
      <sz val="12"/>
      <color theme="1"/>
      <name val="Aptos Narrow"/>
      <family val="2"/>
      <scheme val="minor"/>
    </font>
    <font>
      <sz val="12"/>
      <color theme="0"/>
      <name val="Aptos Narrow"/>
      <family val="2"/>
      <scheme val="minor"/>
    </font>
    <font>
      <sz val="10"/>
      <color rgb="FF000000"/>
      <name val="Helvetica Neue"/>
      <family val="2"/>
    </font>
    <font>
      <b/>
      <sz val="10"/>
      <color rgb="FF000000"/>
      <name val="Helvetica Neue"/>
      <family val="2"/>
    </font>
    <font>
      <sz val="12"/>
      <color theme="1"/>
      <name val="Aptos Narrow"/>
      <scheme val="minor"/>
    </font>
    <font>
      <sz val="12"/>
      <color rgb="FF000000"/>
      <name val="Aptos Narrow"/>
      <scheme val="minor"/>
    </font>
    <font>
      <b/>
      <sz val="11"/>
      <color theme="1"/>
      <name val="Aptos Narrow"/>
      <scheme val="minor"/>
    </font>
    <font>
      <b/>
      <sz val="12"/>
      <color theme="1"/>
      <name val="Aptos Narrow"/>
      <scheme val="minor"/>
    </font>
    <font>
      <b/>
      <sz val="12"/>
      <color theme="1"/>
      <name val="Aptos Narrow"/>
      <family val="2"/>
      <scheme val="minor"/>
    </font>
    <font>
      <sz val="10"/>
      <color theme="1"/>
      <name val="Helvetica Neue"/>
      <family val="2"/>
    </font>
    <font>
      <b/>
      <sz val="12"/>
      <color rgb="FFFF0000"/>
      <name val="Aptos Narrow"/>
      <family val="2"/>
      <scheme val="minor"/>
    </font>
    <font>
      <sz val="10"/>
      <name val="Helvetica Neue"/>
      <family val="2"/>
    </font>
    <font>
      <sz val="12"/>
      <color rgb="FFFF0000"/>
      <name val="Aptos Narrow"/>
      <family val="2"/>
      <scheme val="minor"/>
    </font>
    <font>
      <sz val="12"/>
      <color theme="5"/>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theme="3" tint="0.89999084444715716"/>
        <bgColor indexed="64"/>
      </patternFill>
    </fill>
    <fill>
      <patternFill patternType="solid">
        <fgColor theme="9"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44">
    <xf numFmtId="0" fontId="0" fillId="0" borderId="0" xfId="0"/>
    <xf numFmtId="0" fontId="3" fillId="0" borderId="0" xfId="0" applyFont="1"/>
    <xf numFmtId="0" fontId="2" fillId="0" borderId="0" xfId="0" applyFont="1"/>
    <xf numFmtId="0" fontId="4" fillId="0" borderId="0" xfId="0" applyFont="1"/>
    <xf numFmtId="0" fontId="5" fillId="0" borderId="0" xfId="0" applyFont="1"/>
    <xf numFmtId="2" fontId="3" fillId="0" borderId="0" xfId="0" applyNumberFormat="1" applyFont="1"/>
    <xf numFmtId="2" fontId="0" fillId="0" borderId="0" xfId="0" applyNumberFormat="1"/>
    <xf numFmtId="0" fontId="6" fillId="2" borderId="0" xfId="0" applyFont="1" applyFill="1"/>
    <xf numFmtId="0" fontId="7" fillId="2" borderId="0" xfId="0" applyFont="1" applyFill="1"/>
    <xf numFmtId="0" fontId="1" fillId="0" borderId="0" xfId="0" applyFont="1"/>
    <xf numFmtId="1" fontId="2" fillId="0" borderId="0" xfId="0" applyNumberFormat="1" applyFont="1"/>
    <xf numFmtId="1" fontId="0" fillId="0" borderId="0" xfId="0" applyNumberFormat="1"/>
    <xf numFmtId="164" fontId="0" fillId="0" borderId="0" xfId="0" applyNumberFormat="1"/>
    <xf numFmtId="164" fontId="2" fillId="0" borderId="0" xfId="0" applyNumberFormat="1" applyFont="1"/>
    <xf numFmtId="0" fontId="4" fillId="0" borderId="0" xfId="0" applyFont="1" applyAlignment="1">
      <alignment horizontal="center"/>
    </xf>
    <xf numFmtId="0" fontId="0" fillId="2" borderId="0" xfId="0" applyFill="1"/>
    <xf numFmtId="0" fontId="3" fillId="0" borderId="1" xfId="0" applyFont="1" applyBorder="1"/>
    <xf numFmtId="0" fontId="0" fillId="0" borderId="1" xfId="0" applyBorder="1"/>
    <xf numFmtId="164" fontId="9" fillId="0" borderId="0" xfId="0" applyNumberFormat="1" applyFont="1"/>
    <xf numFmtId="164" fontId="6" fillId="2" borderId="0" xfId="0" applyNumberFormat="1" applyFont="1" applyFill="1"/>
    <xf numFmtId="2" fontId="0" fillId="0" borderId="3" xfId="0" applyNumberFormat="1" applyBorder="1"/>
    <xf numFmtId="2" fontId="0" fillId="0" borderId="2" xfId="0" applyNumberFormat="1" applyBorder="1"/>
    <xf numFmtId="0" fontId="0" fillId="3" borderId="1" xfId="0" applyFill="1" applyBorder="1"/>
    <xf numFmtId="2" fontId="0" fillId="3" borderId="0" xfId="0" applyNumberFormat="1" applyFill="1"/>
    <xf numFmtId="0" fontId="8" fillId="0" borderId="0" xfId="0" applyFont="1"/>
    <xf numFmtId="0" fontId="8" fillId="0" borderId="1" xfId="0" applyFont="1" applyBorder="1"/>
    <xf numFmtId="164" fontId="8" fillId="0" borderId="1" xfId="0" applyNumberFormat="1" applyFont="1" applyBorder="1"/>
    <xf numFmtId="2" fontId="8" fillId="0" borderId="1" xfId="0" applyNumberFormat="1" applyFont="1" applyBorder="1"/>
    <xf numFmtId="2" fontId="0" fillId="3" borderId="1" xfId="0" applyNumberFormat="1" applyFill="1" applyBorder="1"/>
    <xf numFmtId="2" fontId="0" fillId="0" borderId="1" xfId="0" applyNumberFormat="1" applyBorder="1"/>
    <xf numFmtId="2" fontId="10" fillId="0" borderId="1" xfId="0" applyNumberFormat="1" applyFont="1" applyBorder="1"/>
    <xf numFmtId="2" fontId="10" fillId="0" borderId="4" xfId="0" applyNumberFormat="1" applyFont="1" applyBorder="1"/>
    <xf numFmtId="2" fontId="8" fillId="0" borderId="4" xfId="0" applyNumberFormat="1" applyFont="1" applyBorder="1"/>
    <xf numFmtId="164" fontId="11" fillId="0" borderId="0" xfId="0" applyNumberFormat="1" applyFont="1"/>
    <xf numFmtId="0" fontId="0" fillId="0" borderId="0" xfId="0" applyAlignment="1">
      <alignment horizontal="center" vertical="center"/>
    </xf>
    <xf numFmtId="164" fontId="2" fillId="4" borderId="0" xfId="0" applyNumberFormat="1" applyFont="1" applyFill="1"/>
    <xf numFmtId="164" fontId="11" fillId="4" borderId="0" xfId="0" applyNumberFormat="1" applyFont="1" applyFill="1"/>
    <xf numFmtId="2" fontId="0" fillId="0" borderId="0" xfId="0" applyNumberFormat="1" applyAlignment="1">
      <alignment horizontal="center" vertical="center"/>
    </xf>
    <xf numFmtId="2" fontId="12" fillId="0" borderId="0" xfId="0" applyNumberFormat="1" applyFont="1" applyAlignment="1">
      <alignment horizontal="center" vertical="center"/>
    </xf>
    <xf numFmtId="2" fontId="12" fillId="0" borderId="0" xfId="0" applyNumberFormat="1" applyFont="1"/>
    <xf numFmtId="2" fontId="13" fillId="0" borderId="0" xfId="0" applyNumberFormat="1" applyFont="1"/>
    <xf numFmtId="0" fontId="0" fillId="0" borderId="1" xfId="0" applyBorder="1" applyAlignment="1">
      <alignment horizontal="center"/>
    </xf>
    <xf numFmtId="0" fontId="0" fillId="0" borderId="0" xfId="0" applyAlignment="1">
      <alignment horizontal="center"/>
    </xf>
    <xf numFmtId="0" fontId="4" fillId="0" borderId="0" xfId="0" applyFont="1" applyAlignment="1">
      <alignment horizontal="center"/>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Utente 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T"/>
        </a:p>
      </c:txPr>
    </c:title>
    <c:autoTitleDeleted val="0"/>
    <c:plotArea>
      <c:layout/>
      <c:lineChart>
        <c:grouping val="standard"/>
        <c:varyColors val="0"/>
        <c:ser>
          <c:idx val="0"/>
          <c:order val="0"/>
          <c:tx>
            <c:v>Accuratezza Risposte</c:v>
          </c:tx>
          <c:spPr>
            <a:ln w="28575" cap="rnd">
              <a:solidFill>
                <a:schemeClr val="accent1"/>
              </a:solidFill>
              <a:round/>
            </a:ln>
            <a:effectLst/>
          </c:spPr>
          <c:marker>
            <c:symbol val="none"/>
          </c:marker>
          <c:val>
            <c:numRef>
              <c:f>'first_round_of_test (Davide)'!$K$3:$K$18</c:f>
              <c:numCache>
                <c:formatCode>General</c:formatCode>
                <c:ptCount val="16"/>
                <c:pt idx="0">
                  <c:v>1</c:v>
                </c:pt>
                <c:pt idx="1">
                  <c:v>0.4</c:v>
                </c:pt>
                <c:pt idx="2">
                  <c:v>0.5</c:v>
                </c:pt>
                <c:pt idx="3">
                  <c:v>0.4</c:v>
                </c:pt>
                <c:pt idx="4">
                  <c:v>0.5</c:v>
                </c:pt>
                <c:pt idx="5">
                  <c:v>0.2</c:v>
                </c:pt>
                <c:pt idx="6">
                  <c:v>0.5</c:v>
                </c:pt>
                <c:pt idx="7">
                  <c:v>0.6</c:v>
                </c:pt>
                <c:pt idx="8">
                  <c:v>0.5</c:v>
                </c:pt>
                <c:pt idx="9">
                  <c:v>0.6</c:v>
                </c:pt>
                <c:pt idx="10">
                  <c:v>0.8</c:v>
                </c:pt>
                <c:pt idx="11">
                  <c:v>0.5</c:v>
                </c:pt>
                <c:pt idx="12">
                  <c:v>0.4</c:v>
                </c:pt>
                <c:pt idx="13">
                  <c:v>0.5</c:v>
                </c:pt>
                <c:pt idx="14">
                  <c:v>0.2</c:v>
                </c:pt>
                <c:pt idx="15">
                  <c:v>0.75</c:v>
                </c:pt>
              </c:numCache>
            </c:numRef>
          </c:val>
          <c:smooth val="0"/>
          <c:extLst>
            <c:ext xmlns:c16="http://schemas.microsoft.com/office/drawing/2014/chart" uri="{C3380CC4-5D6E-409C-BE32-E72D297353CC}">
              <c16:uniqueId val="{00000000-69ED-F341-950E-7B0DAE9D66EA}"/>
            </c:ext>
          </c:extLst>
        </c:ser>
        <c:ser>
          <c:idx val="1"/>
          <c:order val="1"/>
          <c:tx>
            <c:v>Soglia Randomness</c:v>
          </c:tx>
          <c:spPr>
            <a:ln w="28575" cap="rnd">
              <a:solidFill>
                <a:schemeClr val="accent2"/>
              </a:solidFill>
              <a:round/>
            </a:ln>
            <a:effectLst/>
          </c:spPr>
          <c:marker>
            <c:symbol val="none"/>
          </c:marker>
          <c:val>
            <c:numRef>
              <c:f>'first_round_of_test (Davide)'!$L$3:$L$18</c:f>
              <c:numCache>
                <c:formatCode>General</c:formatCode>
                <c:ptCount val="16"/>
                <c:pt idx="0">
                  <c:v>0.5</c:v>
                </c:pt>
                <c:pt idx="1">
                  <c:v>0.5</c:v>
                </c:pt>
                <c:pt idx="2">
                  <c:v>0.5</c:v>
                </c:pt>
                <c:pt idx="3">
                  <c:v>0.5</c:v>
                </c:pt>
                <c:pt idx="4">
                  <c:v>0.5</c:v>
                </c:pt>
                <c:pt idx="5">
                  <c:v>0.5</c:v>
                </c:pt>
                <c:pt idx="6">
                  <c:v>0.5</c:v>
                </c:pt>
                <c:pt idx="7">
                  <c:v>0.5</c:v>
                </c:pt>
                <c:pt idx="8">
                  <c:v>0.5</c:v>
                </c:pt>
                <c:pt idx="9">
                  <c:v>0.5</c:v>
                </c:pt>
                <c:pt idx="10">
                  <c:v>0.5</c:v>
                </c:pt>
                <c:pt idx="11">
                  <c:v>0.5</c:v>
                </c:pt>
                <c:pt idx="12">
                  <c:v>0.5</c:v>
                </c:pt>
                <c:pt idx="13">
                  <c:v>0.5</c:v>
                </c:pt>
                <c:pt idx="14">
                  <c:v>0.5</c:v>
                </c:pt>
                <c:pt idx="15">
                  <c:v>0.5</c:v>
                </c:pt>
              </c:numCache>
            </c:numRef>
          </c:val>
          <c:smooth val="0"/>
          <c:extLst>
            <c:ext xmlns:c16="http://schemas.microsoft.com/office/drawing/2014/chart" uri="{C3380CC4-5D6E-409C-BE32-E72D297353CC}">
              <c16:uniqueId val="{00000001-69ED-F341-950E-7B0DAE9D66EA}"/>
            </c:ext>
          </c:extLst>
        </c:ser>
        <c:dLbls>
          <c:showLegendKey val="0"/>
          <c:showVal val="0"/>
          <c:showCatName val="0"/>
          <c:showSerName val="0"/>
          <c:showPercent val="0"/>
          <c:showBubbleSize val="0"/>
        </c:dLbls>
        <c:smooth val="0"/>
        <c:axId val="1570901503"/>
        <c:axId val="1570911807"/>
      </c:lineChart>
      <c:catAx>
        <c:axId val="157090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11807"/>
        <c:crosses val="autoZero"/>
        <c:auto val="1"/>
        <c:lblAlgn val="ctr"/>
        <c:lblOffset val="100"/>
        <c:noMultiLvlLbl val="0"/>
      </c:catAx>
      <c:valAx>
        <c:axId val="1570911807"/>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01503"/>
        <c:crosses val="autoZero"/>
        <c:crossBetween val="between"/>
        <c:majorUnit val="0.2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I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Utente 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T"/>
        </a:p>
      </c:txPr>
    </c:title>
    <c:autoTitleDeleted val="0"/>
    <c:plotArea>
      <c:layout/>
      <c:lineChart>
        <c:grouping val="standard"/>
        <c:varyColors val="0"/>
        <c:ser>
          <c:idx val="0"/>
          <c:order val="0"/>
          <c:tx>
            <c:v>Accuratezza Risposte</c:v>
          </c:tx>
          <c:spPr>
            <a:ln w="28575" cap="rnd">
              <a:solidFill>
                <a:schemeClr val="accent1"/>
              </a:solidFill>
              <a:round/>
            </a:ln>
            <a:effectLst/>
          </c:spPr>
          <c:marker>
            <c:symbol val="none"/>
          </c:marker>
          <c:val>
            <c:numRef>
              <c:f>'first_round_of_test (Davide)'!$K$19:$K$34</c:f>
              <c:numCache>
                <c:formatCode>General</c:formatCode>
                <c:ptCount val="16"/>
                <c:pt idx="0">
                  <c:v>0.5</c:v>
                </c:pt>
                <c:pt idx="1">
                  <c:v>0.6</c:v>
                </c:pt>
                <c:pt idx="2">
                  <c:v>0.5</c:v>
                </c:pt>
                <c:pt idx="3">
                  <c:v>0.8</c:v>
                </c:pt>
                <c:pt idx="4">
                  <c:v>0.5</c:v>
                </c:pt>
                <c:pt idx="5">
                  <c:v>0.6</c:v>
                </c:pt>
                <c:pt idx="6">
                  <c:v>0.5</c:v>
                </c:pt>
                <c:pt idx="7">
                  <c:v>0.6</c:v>
                </c:pt>
                <c:pt idx="8">
                  <c:v>0.5</c:v>
                </c:pt>
                <c:pt idx="9">
                  <c:v>0.8</c:v>
                </c:pt>
                <c:pt idx="10">
                  <c:v>0.8</c:v>
                </c:pt>
                <c:pt idx="11">
                  <c:v>0.5</c:v>
                </c:pt>
                <c:pt idx="12">
                  <c:v>0.6</c:v>
                </c:pt>
                <c:pt idx="13">
                  <c:v>0.5</c:v>
                </c:pt>
                <c:pt idx="14">
                  <c:v>0.6</c:v>
                </c:pt>
                <c:pt idx="15">
                  <c:v>0.5</c:v>
                </c:pt>
              </c:numCache>
            </c:numRef>
          </c:val>
          <c:smooth val="0"/>
          <c:extLst>
            <c:ext xmlns:c16="http://schemas.microsoft.com/office/drawing/2014/chart" uri="{C3380CC4-5D6E-409C-BE32-E72D297353CC}">
              <c16:uniqueId val="{00000000-535A-8441-899A-66079D109C06}"/>
            </c:ext>
          </c:extLst>
        </c:ser>
        <c:ser>
          <c:idx val="1"/>
          <c:order val="1"/>
          <c:tx>
            <c:v>Soglia Randomness</c:v>
          </c:tx>
          <c:spPr>
            <a:ln w="28575" cap="rnd">
              <a:solidFill>
                <a:schemeClr val="accent2"/>
              </a:solidFill>
              <a:round/>
            </a:ln>
            <a:effectLst/>
          </c:spPr>
          <c:marker>
            <c:symbol val="none"/>
          </c:marker>
          <c:val>
            <c:numRef>
              <c:f>'first_round_of_test (Davide)'!$L$3:$L$18</c:f>
              <c:numCache>
                <c:formatCode>General</c:formatCode>
                <c:ptCount val="16"/>
                <c:pt idx="0">
                  <c:v>0.5</c:v>
                </c:pt>
                <c:pt idx="1">
                  <c:v>0.5</c:v>
                </c:pt>
                <c:pt idx="2">
                  <c:v>0.5</c:v>
                </c:pt>
                <c:pt idx="3">
                  <c:v>0.5</c:v>
                </c:pt>
                <c:pt idx="4">
                  <c:v>0.5</c:v>
                </c:pt>
                <c:pt idx="5">
                  <c:v>0.5</c:v>
                </c:pt>
                <c:pt idx="6">
                  <c:v>0.5</c:v>
                </c:pt>
                <c:pt idx="7">
                  <c:v>0.5</c:v>
                </c:pt>
                <c:pt idx="8">
                  <c:v>0.5</c:v>
                </c:pt>
                <c:pt idx="9">
                  <c:v>0.5</c:v>
                </c:pt>
                <c:pt idx="10">
                  <c:v>0.5</c:v>
                </c:pt>
                <c:pt idx="11">
                  <c:v>0.5</c:v>
                </c:pt>
                <c:pt idx="12">
                  <c:v>0.5</c:v>
                </c:pt>
                <c:pt idx="13">
                  <c:v>0.5</c:v>
                </c:pt>
                <c:pt idx="14">
                  <c:v>0.5</c:v>
                </c:pt>
                <c:pt idx="15">
                  <c:v>0.5</c:v>
                </c:pt>
              </c:numCache>
            </c:numRef>
          </c:val>
          <c:smooth val="0"/>
          <c:extLst>
            <c:ext xmlns:c16="http://schemas.microsoft.com/office/drawing/2014/chart" uri="{C3380CC4-5D6E-409C-BE32-E72D297353CC}">
              <c16:uniqueId val="{00000001-535A-8441-899A-66079D109C06}"/>
            </c:ext>
          </c:extLst>
        </c:ser>
        <c:dLbls>
          <c:showLegendKey val="0"/>
          <c:showVal val="0"/>
          <c:showCatName val="0"/>
          <c:showSerName val="0"/>
          <c:showPercent val="0"/>
          <c:showBubbleSize val="0"/>
        </c:dLbls>
        <c:smooth val="0"/>
        <c:axId val="1570901503"/>
        <c:axId val="1570911807"/>
      </c:lineChart>
      <c:catAx>
        <c:axId val="157090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11807"/>
        <c:crosses val="autoZero"/>
        <c:auto val="1"/>
        <c:lblAlgn val="ctr"/>
        <c:lblOffset val="100"/>
        <c:noMultiLvlLbl val="0"/>
      </c:catAx>
      <c:valAx>
        <c:axId val="1570911807"/>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01503"/>
        <c:crosses val="autoZero"/>
        <c:crossBetween val="between"/>
        <c:majorUnit val="0.2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I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Utente 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T"/>
        </a:p>
      </c:txPr>
    </c:title>
    <c:autoTitleDeleted val="0"/>
    <c:plotArea>
      <c:layout/>
      <c:lineChart>
        <c:grouping val="standard"/>
        <c:varyColors val="0"/>
        <c:ser>
          <c:idx val="0"/>
          <c:order val="0"/>
          <c:tx>
            <c:v>Accuratezza Risposte</c:v>
          </c:tx>
          <c:spPr>
            <a:ln w="28575" cap="rnd">
              <a:solidFill>
                <a:schemeClr val="accent1"/>
              </a:solidFill>
              <a:round/>
            </a:ln>
            <a:effectLst/>
          </c:spPr>
          <c:marker>
            <c:symbol val="none"/>
          </c:marker>
          <c:val>
            <c:numRef>
              <c:f>'first_round_of_test (Davide)'!$K$35:$K$48</c:f>
              <c:numCache>
                <c:formatCode>General</c:formatCode>
                <c:ptCount val="14"/>
                <c:pt idx="0">
                  <c:v>0.5</c:v>
                </c:pt>
                <c:pt idx="1">
                  <c:v>1</c:v>
                </c:pt>
                <c:pt idx="2">
                  <c:v>0.5</c:v>
                </c:pt>
                <c:pt idx="3">
                  <c:v>0.4</c:v>
                </c:pt>
                <c:pt idx="4">
                  <c:v>0.5</c:v>
                </c:pt>
                <c:pt idx="5">
                  <c:v>0.8</c:v>
                </c:pt>
                <c:pt idx="6">
                  <c:v>0.5</c:v>
                </c:pt>
                <c:pt idx="7">
                  <c:v>1</c:v>
                </c:pt>
                <c:pt idx="8">
                  <c:v>0.5</c:v>
                </c:pt>
                <c:pt idx="9">
                  <c:v>0.8</c:v>
                </c:pt>
                <c:pt idx="10">
                  <c:v>1</c:v>
                </c:pt>
                <c:pt idx="11">
                  <c:v>0.5</c:v>
                </c:pt>
                <c:pt idx="12">
                  <c:v>0.8</c:v>
                </c:pt>
                <c:pt idx="13">
                  <c:v>0.5</c:v>
                </c:pt>
              </c:numCache>
            </c:numRef>
          </c:val>
          <c:smooth val="0"/>
          <c:extLst>
            <c:ext xmlns:c16="http://schemas.microsoft.com/office/drawing/2014/chart" uri="{C3380CC4-5D6E-409C-BE32-E72D297353CC}">
              <c16:uniqueId val="{00000000-81E3-B14A-A5CB-AED869E9447B}"/>
            </c:ext>
          </c:extLst>
        </c:ser>
        <c:ser>
          <c:idx val="1"/>
          <c:order val="1"/>
          <c:tx>
            <c:v>Soglia Randomness</c:v>
          </c:tx>
          <c:spPr>
            <a:ln w="28575" cap="rnd">
              <a:solidFill>
                <a:schemeClr val="accent2"/>
              </a:solidFill>
              <a:round/>
            </a:ln>
            <a:effectLst/>
          </c:spPr>
          <c:marker>
            <c:symbol val="none"/>
          </c:marker>
          <c:val>
            <c:numRef>
              <c:f>'first_round_of_test (Davide)'!$L$3:$L$18</c:f>
              <c:numCache>
                <c:formatCode>General</c:formatCode>
                <c:ptCount val="16"/>
                <c:pt idx="0">
                  <c:v>0.5</c:v>
                </c:pt>
                <c:pt idx="1">
                  <c:v>0.5</c:v>
                </c:pt>
                <c:pt idx="2">
                  <c:v>0.5</c:v>
                </c:pt>
                <c:pt idx="3">
                  <c:v>0.5</c:v>
                </c:pt>
                <c:pt idx="4">
                  <c:v>0.5</c:v>
                </c:pt>
                <c:pt idx="5">
                  <c:v>0.5</c:v>
                </c:pt>
                <c:pt idx="6">
                  <c:v>0.5</c:v>
                </c:pt>
                <c:pt idx="7">
                  <c:v>0.5</c:v>
                </c:pt>
                <c:pt idx="8">
                  <c:v>0.5</c:v>
                </c:pt>
                <c:pt idx="9">
                  <c:v>0.5</c:v>
                </c:pt>
                <c:pt idx="10">
                  <c:v>0.5</c:v>
                </c:pt>
                <c:pt idx="11">
                  <c:v>0.5</c:v>
                </c:pt>
                <c:pt idx="12">
                  <c:v>0.5</c:v>
                </c:pt>
                <c:pt idx="13">
                  <c:v>0.5</c:v>
                </c:pt>
                <c:pt idx="14">
                  <c:v>0.5</c:v>
                </c:pt>
                <c:pt idx="15">
                  <c:v>0.5</c:v>
                </c:pt>
              </c:numCache>
            </c:numRef>
          </c:val>
          <c:smooth val="0"/>
          <c:extLst>
            <c:ext xmlns:c16="http://schemas.microsoft.com/office/drawing/2014/chart" uri="{C3380CC4-5D6E-409C-BE32-E72D297353CC}">
              <c16:uniqueId val="{00000001-81E3-B14A-A5CB-AED869E9447B}"/>
            </c:ext>
          </c:extLst>
        </c:ser>
        <c:dLbls>
          <c:showLegendKey val="0"/>
          <c:showVal val="0"/>
          <c:showCatName val="0"/>
          <c:showSerName val="0"/>
          <c:showPercent val="0"/>
          <c:showBubbleSize val="0"/>
        </c:dLbls>
        <c:smooth val="0"/>
        <c:axId val="1570901503"/>
        <c:axId val="1570911807"/>
      </c:lineChart>
      <c:catAx>
        <c:axId val="157090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11807"/>
        <c:crosses val="autoZero"/>
        <c:auto val="1"/>
        <c:lblAlgn val="ctr"/>
        <c:lblOffset val="100"/>
        <c:noMultiLvlLbl val="0"/>
      </c:catAx>
      <c:valAx>
        <c:axId val="1570911807"/>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01503"/>
        <c:crosses val="autoZero"/>
        <c:crossBetween val="between"/>
        <c:majorUnit val="0.2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I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Utente 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T"/>
        </a:p>
      </c:txPr>
    </c:title>
    <c:autoTitleDeleted val="0"/>
    <c:plotArea>
      <c:layout/>
      <c:lineChart>
        <c:grouping val="standard"/>
        <c:varyColors val="0"/>
        <c:ser>
          <c:idx val="0"/>
          <c:order val="0"/>
          <c:tx>
            <c:v>Accuratezza Risposte</c:v>
          </c:tx>
          <c:spPr>
            <a:ln w="28575" cap="rnd">
              <a:solidFill>
                <a:schemeClr val="accent1"/>
              </a:solidFill>
              <a:round/>
            </a:ln>
            <a:effectLst/>
          </c:spPr>
          <c:marker>
            <c:symbol val="none"/>
          </c:marker>
          <c:val>
            <c:numRef>
              <c:f>'first_round_of_test (Sara)'!$K$3:$K$18</c:f>
            </c:numRef>
          </c:val>
          <c:smooth val="0"/>
          <c:extLst>
            <c:ext xmlns:c16="http://schemas.microsoft.com/office/drawing/2014/chart" uri="{C3380CC4-5D6E-409C-BE32-E72D297353CC}">
              <c16:uniqueId val="{00000000-C7CC-4873-A158-A1DB1E94BDEA}"/>
            </c:ext>
          </c:extLst>
        </c:ser>
        <c:ser>
          <c:idx val="1"/>
          <c:order val="1"/>
          <c:tx>
            <c:v>Soglia Randomness</c:v>
          </c:tx>
          <c:spPr>
            <a:ln w="28575" cap="rnd">
              <a:solidFill>
                <a:schemeClr val="accent2"/>
              </a:solidFill>
              <a:round/>
            </a:ln>
            <a:effectLst/>
          </c:spPr>
          <c:marker>
            <c:symbol val="none"/>
          </c:marker>
          <c:val>
            <c:numRef>
              <c:f>'first_round_of_test (Sara)'!$X$3:$X$18</c:f>
            </c:numRef>
          </c:val>
          <c:smooth val="0"/>
          <c:extLst>
            <c:ext xmlns:c16="http://schemas.microsoft.com/office/drawing/2014/chart" uri="{C3380CC4-5D6E-409C-BE32-E72D297353CC}">
              <c16:uniqueId val="{00000001-C7CC-4873-A158-A1DB1E94BDEA}"/>
            </c:ext>
          </c:extLst>
        </c:ser>
        <c:dLbls>
          <c:showLegendKey val="0"/>
          <c:showVal val="0"/>
          <c:showCatName val="0"/>
          <c:showSerName val="0"/>
          <c:showPercent val="0"/>
          <c:showBubbleSize val="0"/>
        </c:dLbls>
        <c:marker val="1"/>
        <c:smooth val="0"/>
        <c:axId val="1570901503"/>
        <c:axId val="1570911807"/>
      </c:lineChart>
      <c:catAx>
        <c:axId val="157090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11807"/>
        <c:crosses val="autoZero"/>
        <c:auto val="1"/>
        <c:lblAlgn val="ctr"/>
        <c:lblOffset val="100"/>
        <c:noMultiLvlLbl val="0"/>
      </c:catAx>
      <c:valAx>
        <c:axId val="1570911807"/>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01503"/>
        <c:crosses val="autoZero"/>
        <c:crossBetween val="between"/>
        <c:majorUnit val="0.2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I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Utente 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T"/>
        </a:p>
      </c:txPr>
    </c:title>
    <c:autoTitleDeleted val="0"/>
    <c:plotArea>
      <c:layout/>
      <c:lineChart>
        <c:grouping val="standard"/>
        <c:varyColors val="0"/>
        <c:ser>
          <c:idx val="0"/>
          <c:order val="0"/>
          <c:spPr>
            <a:ln w="28575" cap="rnd">
              <a:solidFill>
                <a:schemeClr val="accent1"/>
              </a:solidFill>
              <a:round/>
            </a:ln>
            <a:effectLst/>
          </c:spPr>
          <c:marker>
            <c:symbol val="none"/>
          </c:marker>
          <c:val>
            <c:numRef>
              <c:f>'first_round_of_test (Sara)'!$K$19:$K$34</c:f>
              <c:numCache>
                <c:formatCode>General</c:formatCode>
                <c:ptCount val="7"/>
                <c:pt idx="0">
                  <c:v>0.5</c:v>
                </c:pt>
                <c:pt idx="1">
                  <c:v>0.5</c:v>
                </c:pt>
                <c:pt idx="2">
                  <c:v>0.5</c:v>
                </c:pt>
                <c:pt idx="3">
                  <c:v>0.5</c:v>
                </c:pt>
                <c:pt idx="4">
                  <c:v>0.5</c:v>
                </c:pt>
                <c:pt idx="5">
                  <c:v>0.8</c:v>
                </c:pt>
                <c:pt idx="6">
                  <c:v>0.5</c:v>
                </c:pt>
              </c:numCache>
            </c:numRef>
          </c:val>
          <c:smooth val="0"/>
          <c:extLst>
            <c:ext xmlns:c16="http://schemas.microsoft.com/office/drawing/2014/chart" uri="{C3380CC4-5D6E-409C-BE32-E72D297353CC}">
              <c16:uniqueId val="{00000000-335E-0E48-9D43-1F8E66FF478A}"/>
            </c:ext>
          </c:extLst>
        </c:ser>
        <c:ser>
          <c:idx val="1"/>
          <c:order val="1"/>
          <c:tx>
            <c:v>Soglia Randomness</c:v>
          </c:tx>
          <c:spPr>
            <a:ln w="28575" cap="rnd">
              <a:solidFill>
                <a:schemeClr val="accent2"/>
              </a:solidFill>
              <a:round/>
            </a:ln>
            <a:effectLst/>
          </c:spPr>
          <c:marker>
            <c:symbol val="none"/>
          </c:marker>
          <c:val>
            <c:numRef>
              <c:f>'first_round_of_test (Sara)'!$X$3:$X$18</c:f>
            </c:numRef>
          </c:val>
          <c:smooth val="0"/>
          <c:extLst>
            <c:ext xmlns:c16="http://schemas.microsoft.com/office/drawing/2014/chart" uri="{C3380CC4-5D6E-409C-BE32-E72D297353CC}">
              <c16:uniqueId val="{00000001-335E-0E48-9D43-1F8E66FF478A}"/>
            </c:ext>
          </c:extLst>
        </c:ser>
        <c:dLbls>
          <c:showLegendKey val="0"/>
          <c:showVal val="0"/>
          <c:showCatName val="0"/>
          <c:showSerName val="0"/>
          <c:showPercent val="0"/>
          <c:showBubbleSize val="0"/>
        </c:dLbls>
        <c:smooth val="0"/>
        <c:axId val="1570901503"/>
        <c:axId val="1570911807"/>
      </c:lineChart>
      <c:catAx>
        <c:axId val="157090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11807"/>
        <c:crosses val="autoZero"/>
        <c:auto val="1"/>
        <c:lblAlgn val="ctr"/>
        <c:lblOffset val="100"/>
        <c:noMultiLvlLbl val="0"/>
      </c:catAx>
      <c:valAx>
        <c:axId val="1570911807"/>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01503"/>
        <c:crosses val="autoZero"/>
        <c:crossBetween val="between"/>
        <c:majorUnit val="0.2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IT"/>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Utente 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T"/>
        </a:p>
      </c:txPr>
    </c:title>
    <c:autoTitleDeleted val="0"/>
    <c:plotArea>
      <c:layout/>
      <c:lineChart>
        <c:grouping val="standard"/>
        <c:varyColors val="0"/>
        <c:ser>
          <c:idx val="0"/>
          <c:order val="0"/>
          <c:tx>
            <c:v>Risposte SM</c:v>
          </c:tx>
          <c:spPr>
            <a:ln w="28575" cap="rnd">
              <a:solidFill>
                <a:schemeClr val="accent2"/>
              </a:solidFill>
              <a:round/>
            </a:ln>
            <a:effectLst/>
          </c:spPr>
          <c:marker>
            <c:symbol val="none"/>
          </c:marker>
          <c:val>
            <c:numRef>
              <c:f>'first_round_of_test (Sara)'!$K$3:$K$18</c:f>
            </c:numRef>
          </c:val>
          <c:smooth val="0"/>
          <c:extLst>
            <c:ext xmlns:c16="http://schemas.microsoft.com/office/drawing/2014/chart" uri="{C3380CC4-5D6E-409C-BE32-E72D297353CC}">
              <c16:uniqueId val="{00000000-0D48-A041-813A-410FD0064201}"/>
            </c:ext>
          </c:extLst>
        </c:ser>
        <c:ser>
          <c:idx val="1"/>
          <c:order val="1"/>
          <c:tx>
            <c:v>Soglia Randomness</c:v>
          </c:tx>
          <c:spPr>
            <a:ln w="28575" cap="rnd">
              <a:solidFill>
                <a:schemeClr val="accent4"/>
              </a:solidFill>
              <a:round/>
            </a:ln>
            <a:effectLst/>
          </c:spPr>
          <c:marker>
            <c:symbol val="none"/>
          </c:marker>
          <c:val>
            <c:numRef>
              <c:f>'first_round_of_test (Sara)'!$L$3:$L$18</c:f>
            </c:numRef>
          </c:val>
          <c:smooth val="0"/>
          <c:extLst>
            <c:ext xmlns:c16="http://schemas.microsoft.com/office/drawing/2014/chart" uri="{C3380CC4-5D6E-409C-BE32-E72D297353CC}">
              <c16:uniqueId val="{00000001-0D48-A041-813A-410FD0064201}"/>
            </c:ext>
          </c:extLst>
        </c:ser>
        <c:ser>
          <c:idx val="2"/>
          <c:order val="2"/>
          <c:tx>
            <c:v>Risposte DM</c:v>
          </c:tx>
          <c:spPr>
            <a:ln w="28575" cap="rnd">
              <a:solidFill>
                <a:schemeClr val="accent6"/>
              </a:solidFill>
              <a:round/>
            </a:ln>
            <a:effectLst/>
          </c:spPr>
          <c:marker>
            <c:symbol val="none"/>
          </c:marker>
          <c:val>
            <c:numRef>
              <c:f>'first_round_of_test (Davide)'!$K$3:$K$18</c:f>
              <c:numCache>
                <c:formatCode>General</c:formatCode>
                <c:ptCount val="16"/>
                <c:pt idx="0">
                  <c:v>1</c:v>
                </c:pt>
                <c:pt idx="1">
                  <c:v>0.4</c:v>
                </c:pt>
                <c:pt idx="2">
                  <c:v>0.5</c:v>
                </c:pt>
                <c:pt idx="3">
                  <c:v>0.4</c:v>
                </c:pt>
                <c:pt idx="4">
                  <c:v>0.5</c:v>
                </c:pt>
                <c:pt idx="5">
                  <c:v>0.2</c:v>
                </c:pt>
                <c:pt idx="6">
                  <c:v>0.5</c:v>
                </c:pt>
                <c:pt idx="7">
                  <c:v>0.6</c:v>
                </c:pt>
                <c:pt idx="8">
                  <c:v>0.5</c:v>
                </c:pt>
                <c:pt idx="9">
                  <c:v>0.6</c:v>
                </c:pt>
                <c:pt idx="10">
                  <c:v>0.8</c:v>
                </c:pt>
                <c:pt idx="11">
                  <c:v>0.5</c:v>
                </c:pt>
                <c:pt idx="12">
                  <c:v>0.4</c:v>
                </c:pt>
                <c:pt idx="13">
                  <c:v>0.5</c:v>
                </c:pt>
                <c:pt idx="14">
                  <c:v>0.2</c:v>
                </c:pt>
                <c:pt idx="15">
                  <c:v>0.75</c:v>
                </c:pt>
              </c:numCache>
            </c:numRef>
          </c:val>
          <c:smooth val="0"/>
          <c:extLst>
            <c:ext xmlns:c16="http://schemas.microsoft.com/office/drawing/2014/chart" uri="{C3380CC4-5D6E-409C-BE32-E72D297353CC}">
              <c16:uniqueId val="{00000002-0D48-A041-813A-410FD0064201}"/>
            </c:ext>
          </c:extLst>
        </c:ser>
        <c:dLbls>
          <c:showLegendKey val="0"/>
          <c:showVal val="0"/>
          <c:showCatName val="0"/>
          <c:showSerName val="0"/>
          <c:showPercent val="0"/>
          <c:showBubbleSize val="0"/>
        </c:dLbls>
        <c:smooth val="0"/>
        <c:axId val="1570901503"/>
        <c:axId val="1570911807"/>
      </c:lineChart>
      <c:catAx>
        <c:axId val="157090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11807"/>
        <c:crosses val="autoZero"/>
        <c:auto val="1"/>
        <c:lblAlgn val="ctr"/>
        <c:lblOffset val="100"/>
        <c:noMultiLvlLbl val="0"/>
      </c:catAx>
      <c:valAx>
        <c:axId val="1570911807"/>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01503"/>
        <c:crosses val="autoZero"/>
        <c:crossBetween val="between"/>
        <c:majorUnit val="0.2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I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Utente 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T"/>
        </a:p>
      </c:txPr>
    </c:title>
    <c:autoTitleDeleted val="0"/>
    <c:plotArea>
      <c:layout/>
      <c:lineChart>
        <c:grouping val="standard"/>
        <c:varyColors val="0"/>
        <c:ser>
          <c:idx val="0"/>
          <c:order val="0"/>
          <c:tx>
            <c:v>Risposte SM</c:v>
          </c:tx>
          <c:spPr>
            <a:ln w="28575" cap="rnd">
              <a:solidFill>
                <a:schemeClr val="accent2"/>
              </a:solidFill>
              <a:round/>
            </a:ln>
            <a:effectLst/>
          </c:spPr>
          <c:marker>
            <c:symbol val="none"/>
          </c:marker>
          <c:val>
            <c:numRef>
              <c:f>'first_round_of_test (Sara)'!$K$19:$K$34</c:f>
              <c:numCache>
                <c:formatCode>General</c:formatCode>
                <c:ptCount val="7"/>
                <c:pt idx="0">
                  <c:v>0.5</c:v>
                </c:pt>
                <c:pt idx="1">
                  <c:v>0.5</c:v>
                </c:pt>
                <c:pt idx="2">
                  <c:v>0.5</c:v>
                </c:pt>
                <c:pt idx="3">
                  <c:v>0.5</c:v>
                </c:pt>
                <c:pt idx="4">
                  <c:v>0.5</c:v>
                </c:pt>
                <c:pt idx="5">
                  <c:v>0.8</c:v>
                </c:pt>
                <c:pt idx="6">
                  <c:v>0.5</c:v>
                </c:pt>
              </c:numCache>
            </c:numRef>
          </c:val>
          <c:smooth val="0"/>
          <c:extLst>
            <c:ext xmlns:c16="http://schemas.microsoft.com/office/drawing/2014/chart" uri="{C3380CC4-5D6E-409C-BE32-E72D297353CC}">
              <c16:uniqueId val="{00000000-2C97-4143-9147-EE8FCA4CBA48}"/>
            </c:ext>
          </c:extLst>
        </c:ser>
        <c:ser>
          <c:idx val="2"/>
          <c:order val="1"/>
          <c:tx>
            <c:v>Risposte DM</c:v>
          </c:tx>
          <c:spPr>
            <a:ln w="28575" cap="rnd">
              <a:solidFill>
                <a:schemeClr val="accent6"/>
              </a:solidFill>
              <a:round/>
            </a:ln>
            <a:effectLst/>
          </c:spPr>
          <c:marker>
            <c:symbol val="none"/>
          </c:marker>
          <c:val>
            <c:numRef>
              <c:f>'first_round_of_test (Davide)'!$K$19:$K$34</c:f>
              <c:numCache>
                <c:formatCode>General</c:formatCode>
                <c:ptCount val="16"/>
                <c:pt idx="0">
                  <c:v>0.5</c:v>
                </c:pt>
                <c:pt idx="1">
                  <c:v>0.6</c:v>
                </c:pt>
                <c:pt idx="2">
                  <c:v>0.5</c:v>
                </c:pt>
                <c:pt idx="3">
                  <c:v>0.8</c:v>
                </c:pt>
                <c:pt idx="4">
                  <c:v>0.5</c:v>
                </c:pt>
                <c:pt idx="5">
                  <c:v>0.6</c:v>
                </c:pt>
                <c:pt idx="6">
                  <c:v>0.5</c:v>
                </c:pt>
                <c:pt idx="7">
                  <c:v>0.6</c:v>
                </c:pt>
                <c:pt idx="8">
                  <c:v>0.5</c:v>
                </c:pt>
                <c:pt idx="9">
                  <c:v>0.8</c:v>
                </c:pt>
                <c:pt idx="10">
                  <c:v>0.8</c:v>
                </c:pt>
                <c:pt idx="11">
                  <c:v>0.5</c:v>
                </c:pt>
                <c:pt idx="12">
                  <c:v>0.6</c:v>
                </c:pt>
                <c:pt idx="13">
                  <c:v>0.5</c:v>
                </c:pt>
                <c:pt idx="14">
                  <c:v>0.6</c:v>
                </c:pt>
                <c:pt idx="15">
                  <c:v>0.5</c:v>
                </c:pt>
              </c:numCache>
            </c:numRef>
          </c:val>
          <c:smooth val="0"/>
          <c:extLst>
            <c:ext xmlns:c16="http://schemas.microsoft.com/office/drawing/2014/chart" uri="{C3380CC4-5D6E-409C-BE32-E72D297353CC}">
              <c16:uniqueId val="{00000002-2C97-4143-9147-EE8FCA4CBA48}"/>
            </c:ext>
          </c:extLst>
        </c:ser>
        <c:dLbls>
          <c:showLegendKey val="0"/>
          <c:showVal val="0"/>
          <c:showCatName val="0"/>
          <c:showSerName val="0"/>
          <c:showPercent val="0"/>
          <c:showBubbleSize val="0"/>
        </c:dLbls>
        <c:smooth val="0"/>
        <c:axId val="1570901503"/>
        <c:axId val="1570911807"/>
      </c:lineChart>
      <c:catAx>
        <c:axId val="157090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11807"/>
        <c:crosses val="autoZero"/>
        <c:auto val="1"/>
        <c:lblAlgn val="ctr"/>
        <c:lblOffset val="100"/>
        <c:noMultiLvlLbl val="0"/>
      </c:catAx>
      <c:valAx>
        <c:axId val="1570911807"/>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01503"/>
        <c:crosses val="autoZero"/>
        <c:crossBetween val="between"/>
        <c:majorUnit val="0.2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IT"/>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Utente 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T"/>
        </a:p>
      </c:txPr>
    </c:title>
    <c:autoTitleDeleted val="0"/>
    <c:plotArea>
      <c:layout/>
      <c:lineChart>
        <c:grouping val="standard"/>
        <c:varyColors val="0"/>
        <c:ser>
          <c:idx val="0"/>
          <c:order val="0"/>
          <c:spPr>
            <a:ln w="28575" cap="rnd">
              <a:solidFill>
                <a:schemeClr val="accent1"/>
              </a:solidFill>
              <a:round/>
            </a:ln>
            <a:effectLst/>
          </c:spPr>
          <c:marker>
            <c:symbol val="none"/>
          </c:marker>
          <c:val>
            <c:numRef>
              <c:f>'first_round_of_test (Sara)'!$K$35:$K$50</c:f>
              <c:numCache>
                <c:formatCode>General</c:formatCode>
                <c:ptCount val="7"/>
                <c:pt idx="0">
                  <c:v>0.5</c:v>
                </c:pt>
                <c:pt idx="1">
                  <c:v>0.5</c:v>
                </c:pt>
                <c:pt idx="2">
                  <c:v>0.5</c:v>
                </c:pt>
                <c:pt idx="3">
                  <c:v>0.5</c:v>
                </c:pt>
                <c:pt idx="4">
                  <c:v>0.5</c:v>
                </c:pt>
                <c:pt idx="5">
                  <c:v>0.8</c:v>
                </c:pt>
                <c:pt idx="6">
                  <c:v>0.5</c:v>
                </c:pt>
              </c:numCache>
            </c:numRef>
          </c:val>
          <c:smooth val="0"/>
          <c:extLst>
            <c:ext xmlns:c16="http://schemas.microsoft.com/office/drawing/2014/chart" uri="{C3380CC4-5D6E-409C-BE32-E72D297353CC}">
              <c16:uniqueId val="{00000000-335E-0E48-9D43-1F8E66FF478A}"/>
            </c:ext>
          </c:extLst>
        </c:ser>
        <c:ser>
          <c:idx val="1"/>
          <c:order val="1"/>
          <c:tx>
            <c:v>Soglia Randomness</c:v>
          </c:tx>
          <c:spPr>
            <a:ln w="28575" cap="rnd">
              <a:solidFill>
                <a:schemeClr val="accent2"/>
              </a:solidFill>
              <a:round/>
            </a:ln>
            <a:effectLst/>
          </c:spPr>
          <c:marker>
            <c:symbol val="none"/>
          </c:marker>
          <c:val>
            <c:numRef>
              <c:f>'first_round_of_test (Sara)'!$X$3:$X$18</c:f>
            </c:numRef>
          </c:val>
          <c:smooth val="0"/>
          <c:extLst>
            <c:ext xmlns:c16="http://schemas.microsoft.com/office/drawing/2014/chart" uri="{C3380CC4-5D6E-409C-BE32-E72D297353CC}">
              <c16:uniqueId val="{00000001-335E-0E48-9D43-1F8E66FF478A}"/>
            </c:ext>
          </c:extLst>
        </c:ser>
        <c:dLbls>
          <c:showLegendKey val="0"/>
          <c:showVal val="0"/>
          <c:showCatName val="0"/>
          <c:showSerName val="0"/>
          <c:showPercent val="0"/>
          <c:showBubbleSize val="0"/>
        </c:dLbls>
        <c:smooth val="0"/>
        <c:axId val="1570901503"/>
        <c:axId val="1570911807"/>
      </c:lineChart>
      <c:catAx>
        <c:axId val="157090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11807"/>
        <c:crosses val="autoZero"/>
        <c:auto val="1"/>
        <c:lblAlgn val="ctr"/>
        <c:lblOffset val="100"/>
        <c:noMultiLvlLbl val="0"/>
      </c:catAx>
      <c:valAx>
        <c:axId val="1570911807"/>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01503"/>
        <c:crosses val="autoZero"/>
        <c:crossBetween val="between"/>
        <c:majorUnit val="0.2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IT"/>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Utente 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T"/>
        </a:p>
      </c:txPr>
    </c:title>
    <c:autoTitleDeleted val="0"/>
    <c:plotArea>
      <c:layout/>
      <c:lineChart>
        <c:grouping val="standard"/>
        <c:varyColors val="0"/>
        <c:ser>
          <c:idx val="0"/>
          <c:order val="0"/>
          <c:tx>
            <c:v>Risposte SM</c:v>
          </c:tx>
          <c:spPr>
            <a:ln w="28575" cap="rnd">
              <a:solidFill>
                <a:schemeClr val="accent2"/>
              </a:solidFill>
              <a:round/>
            </a:ln>
            <a:effectLst/>
          </c:spPr>
          <c:marker>
            <c:symbol val="none"/>
          </c:marker>
          <c:val>
            <c:numRef>
              <c:f>'first_round_of_test (Sara)'!$K$35:$K$50</c:f>
              <c:numCache>
                <c:formatCode>General</c:formatCode>
                <c:ptCount val="7"/>
                <c:pt idx="0">
                  <c:v>0.5</c:v>
                </c:pt>
                <c:pt idx="1">
                  <c:v>0.5</c:v>
                </c:pt>
                <c:pt idx="2">
                  <c:v>0.5</c:v>
                </c:pt>
                <c:pt idx="3">
                  <c:v>0.5</c:v>
                </c:pt>
                <c:pt idx="4">
                  <c:v>0.5</c:v>
                </c:pt>
                <c:pt idx="5">
                  <c:v>0.8</c:v>
                </c:pt>
                <c:pt idx="6">
                  <c:v>0.5</c:v>
                </c:pt>
              </c:numCache>
            </c:numRef>
          </c:val>
          <c:smooth val="0"/>
          <c:extLst>
            <c:ext xmlns:c16="http://schemas.microsoft.com/office/drawing/2014/chart" uri="{C3380CC4-5D6E-409C-BE32-E72D297353CC}">
              <c16:uniqueId val="{00000000-5580-FA4E-A38D-78B6C4F19733}"/>
            </c:ext>
          </c:extLst>
        </c:ser>
        <c:ser>
          <c:idx val="2"/>
          <c:order val="1"/>
          <c:tx>
            <c:v>Risposte DM</c:v>
          </c:tx>
          <c:spPr>
            <a:ln w="28575" cap="rnd">
              <a:solidFill>
                <a:schemeClr val="accent6"/>
              </a:solidFill>
              <a:round/>
            </a:ln>
            <a:effectLst/>
          </c:spPr>
          <c:marker>
            <c:symbol val="none"/>
          </c:marker>
          <c:val>
            <c:numRef>
              <c:f>'first_round_of_test (Davide)'!$K$35:$K$50</c:f>
              <c:numCache>
                <c:formatCode>General</c:formatCode>
                <c:ptCount val="16"/>
                <c:pt idx="0">
                  <c:v>0.5</c:v>
                </c:pt>
                <c:pt idx="1">
                  <c:v>1</c:v>
                </c:pt>
                <c:pt idx="2">
                  <c:v>0.5</c:v>
                </c:pt>
                <c:pt idx="3">
                  <c:v>0.4</c:v>
                </c:pt>
                <c:pt idx="4">
                  <c:v>0.5</c:v>
                </c:pt>
                <c:pt idx="5">
                  <c:v>0.8</c:v>
                </c:pt>
                <c:pt idx="6">
                  <c:v>0.5</c:v>
                </c:pt>
                <c:pt idx="7">
                  <c:v>1</c:v>
                </c:pt>
                <c:pt idx="8">
                  <c:v>0.5</c:v>
                </c:pt>
                <c:pt idx="9">
                  <c:v>0.8</c:v>
                </c:pt>
                <c:pt idx="10">
                  <c:v>1</c:v>
                </c:pt>
                <c:pt idx="11">
                  <c:v>0.5</c:v>
                </c:pt>
                <c:pt idx="12">
                  <c:v>0.8</c:v>
                </c:pt>
                <c:pt idx="13">
                  <c:v>0.5</c:v>
                </c:pt>
                <c:pt idx="14">
                  <c:v>0</c:v>
                </c:pt>
                <c:pt idx="15">
                  <c:v>-0.25</c:v>
                </c:pt>
              </c:numCache>
            </c:numRef>
          </c:val>
          <c:smooth val="0"/>
          <c:extLst>
            <c:ext xmlns:c16="http://schemas.microsoft.com/office/drawing/2014/chart" uri="{C3380CC4-5D6E-409C-BE32-E72D297353CC}">
              <c16:uniqueId val="{00000001-5580-FA4E-A38D-78B6C4F19733}"/>
            </c:ext>
          </c:extLst>
        </c:ser>
        <c:dLbls>
          <c:showLegendKey val="0"/>
          <c:showVal val="0"/>
          <c:showCatName val="0"/>
          <c:showSerName val="0"/>
          <c:showPercent val="0"/>
          <c:showBubbleSize val="0"/>
        </c:dLbls>
        <c:smooth val="0"/>
        <c:axId val="1570901503"/>
        <c:axId val="1570911807"/>
      </c:lineChart>
      <c:catAx>
        <c:axId val="157090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11807"/>
        <c:crosses val="autoZero"/>
        <c:auto val="1"/>
        <c:lblAlgn val="ctr"/>
        <c:lblOffset val="100"/>
        <c:noMultiLvlLbl val="0"/>
      </c:catAx>
      <c:valAx>
        <c:axId val="1570911807"/>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01503"/>
        <c:crosses val="autoZero"/>
        <c:crossBetween val="between"/>
        <c:majorUnit val="0.2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IT"/>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Mean_score</a:t>
            </a:r>
            <a:r>
              <a:rPr lang="en-GB" baseline="0"/>
              <a:t> for experiment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lineChart>
        <c:grouping val="standard"/>
        <c:varyColors val="0"/>
        <c:ser>
          <c:idx val="0"/>
          <c:order val="0"/>
          <c:tx>
            <c:v>Experiment id</c:v>
          </c:tx>
          <c:spPr>
            <a:ln w="28575" cap="rnd">
              <a:solidFill>
                <a:schemeClr val="accent2"/>
              </a:solidFill>
              <a:round/>
            </a:ln>
            <a:effectLst/>
          </c:spPr>
          <c:marker>
            <c:symbol val="none"/>
          </c:marker>
          <c:cat>
            <c:strRef>
              <c:f>'first_round_of_test (Sara)'!$AG$3:$AG$12</c:f>
            </c:strRef>
          </c:cat>
          <c:val>
            <c:numRef>
              <c:f>'first_round_of_test (Sara)'!$AH$3:$AH$12</c:f>
            </c:numRef>
          </c:val>
          <c:smooth val="0"/>
          <c:extLst>
            <c:ext xmlns:c16="http://schemas.microsoft.com/office/drawing/2014/chart" uri="{C3380CC4-5D6E-409C-BE32-E72D297353CC}">
              <c16:uniqueId val="{00000000-4DC4-4C05-9D80-6FD353F698D8}"/>
            </c:ext>
          </c:extLst>
        </c:ser>
        <c:dLbls>
          <c:showLegendKey val="0"/>
          <c:showVal val="0"/>
          <c:showCatName val="0"/>
          <c:showSerName val="0"/>
          <c:showPercent val="0"/>
          <c:showBubbleSize val="0"/>
        </c:dLbls>
        <c:marker val="1"/>
        <c:smooth val="0"/>
        <c:axId val="1570901503"/>
        <c:axId val="1570911807"/>
      </c:lineChart>
      <c:catAx>
        <c:axId val="157090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11807"/>
        <c:crosses val="autoZero"/>
        <c:auto val="1"/>
        <c:lblAlgn val="ctr"/>
        <c:lblOffset val="100"/>
        <c:noMultiLvlLbl val="0"/>
      </c:catAx>
      <c:valAx>
        <c:axId val="1570911807"/>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01503"/>
        <c:crosses val="autoZero"/>
        <c:crossBetween val="between"/>
        <c:majorUnit val="0.2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IT"/>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Mean_score for with step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T"/>
        </a:p>
      </c:txPr>
    </c:title>
    <c:autoTitleDeleted val="0"/>
    <c:plotArea>
      <c:layout/>
      <c:barChart>
        <c:barDir val="col"/>
        <c:grouping val="clustered"/>
        <c:varyColors val="0"/>
        <c:ser>
          <c:idx val="0"/>
          <c:order val="0"/>
          <c:tx>
            <c:v>withdrawal step</c:v>
          </c:tx>
          <c:spPr>
            <a:solidFill>
              <a:schemeClr val="accent2"/>
            </a:solidFill>
            <a:ln>
              <a:noFill/>
            </a:ln>
            <a:effectLst/>
          </c:spPr>
          <c:invertIfNegative val="0"/>
          <c:cat>
            <c:strRef>
              <c:f>'first_round_of_test (Sara)'!$AJ$3:$AJ$8</c:f>
            </c:strRef>
          </c:cat>
          <c:val>
            <c:numRef>
              <c:f>'first_round_of_test (Sara)'!$AK$3:$AK$8</c:f>
            </c:numRef>
          </c:val>
          <c:extLst>
            <c:ext xmlns:c16="http://schemas.microsoft.com/office/drawing/2014/chart" uri="{C3380CC4-5D6E-409C-BE32-E72D297353CC}">
              <c16:uniqueId val="{00000000-994F-47D8-8599-F2442307ECFA}"/>
            </c:ext>
          </c:extLst>
        </c:ser>
        <c:dLbls>
          <c:showLegendKey val="0"/>
          <c:showVal val="0"/>
          <c:showCatName val="0"/>
          <c:showSerName val="0"/>
          <c:showPercent val="0"/>
          <c:showBubbleSize val="0"/>
        </c:dLbls>
        <c:gapWidth val="150"/>
        <c:axId val="1570901503"/>
        <c:axId val="1570911807"/>
      </c:barChart>
      <c:catAx>
        <c:axId val="157090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11807"/>
        <c:crosses val="autoZero"/>
        <c:auto val="1"/>
        <c:lblAlgn val="ctr"/>
        <c:lblOffset val="100"/>
        <c:noMultiLvlLbl val="0"/>
      </c:catAx>
      <c:valAx>
        <c:axId val="1570911807"/>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01503"/>
        <c:crosses val="autoZero"/>
        <c:crossBetween val="between"/>
        <c:majorUnit val="0.2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IT"/>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Mean_score for</a:t>
            </a:r>
            <a:r>
              <a:rPr lang="en-GB" baseline="0"/>
              <a:t> </a:t>
            </a:r>
            <a:r>
              <a:rPr lang="en-GB"/>
              <a:t> assembly step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T"/>
        </a:p>
      </c:txPr>
    </c:title>
    <c:autoTitleDeleted val="0"/>
    <c:plotArea>
      <c:layout/>
      <c:barChart>
        <c:barDir val="col"/>
        <c:grouping val="clustered"/>
        <c:varyColors val="0"/>
        <c:ser>
          <c:idx val="0"/>
          <c:order val="0"/>
          <c:tx>
            <c:v>assembly step</c:v>
          </c:tx>
          <c:spPr>
            <a:solidFill>
              <a:schemeClr val="accent2"/>
            </a:solidFill>
            <a:ln>
              <a:noFill/>
            </a:ln>
            <a:effectLst/>
          </c:spPr>
          <c:invertIfNegative val="0"/>
          <c:cat>
            <c:strRef>
              <c:f>'first_round_of_test (Sara)'!$AM$3:$AM$11</c:f>
            </c:strRef>
          </c:cat>
          <c:val>
            <c:numRef>
              <c:f>'first_round_of_test (Sara)'!$AN$3:$AN$11</c:f>
            </c:numRef>
          </c:val>
          <c:extLst>
            <c:ext xmlns:c16="http://schemas.microsoft.com/office/drawing/2014/chart" uri="{C3380CC4-5D6E-409C-BE32-E72D297353CC}">
              <c16:uniqueId val="{00000000-994F-47D8-8599-F2442307ECFA}"/>
            </c:ext>
          </c:extLst>
        </c:ser>
        <c:dLbls>
          <c:showLegendKey val="0"/>
          <c:showVal val="0"/>
          <c:showCatName val="0"/>
          <c:showSerName val="0"/>
          <c:showPercent val="0"/>
          <c:showBubbleSize val="0"/>
        </c:dLbls>
        <c:gapWidth val="150"/>
        <c:axId val="1570901503"/>
        <c:axId val="1570911807"/>
      </c:barChart>
      <c:catAx>
        <c:axId val="157090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11807"/>
        <c:crosses val="autoZero"/>
        <c:auto val="1"/>
        <c:lblAlgn val="ctr"/>
        <c:lblOffset val="100"/>
        <c:noMultiLvlLbl val="0"/>
      </c:catAx>
      <c:valAx>
        <c:axId val="1570911807"/>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01503"/>
        <c:crosses val="autoZero"/>
        <c:crossBetween val="between"/>
        <c:majorUnit val="0.2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IT"/>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Utente 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T"/>
        </a:p>
      </c:txPr>
    </c:title>
    <c:autoTitleDeleted val="0"/>
    <c:plotArea>
      <c:layout/>
      <c:lineChart>
        <c:grouping val="standard"/>
        <c:varyColors val="0"/>
        <c:ser>
          <c:idx val="0"/>
          <c:order val="0"/>
          <c:spPr>
            <a:ln w="28575" cap="rnd">
              <a:solidFill>
                <a:schemeClr val="accent1"/>
              </a:solidFill>
              <a:round/>
            </a:ln>
            <a:effectLst/>
          </c:spPr>
          <c:marker>
            <c:symbol val="none"/>
          </c:marker>
          <c:val>
            <c:numRef>
              <c:f>'first_round_of_test (Sara)'!$K$51:$K$66</c:f>
              <c:numCache>
                <c:formatCode>General</c:formatCode>
                <c:ptCount val="1"/>
                <c:pt idx="0">
                  <c:v>0.6</c:v>
                </c:pt>
              </c:numCache>
            </c:numRef>
          </c:val>
          <c:smooth val="0"/>
          <c:extLst>
            <c:ext xmlns:c16="http://schemas.microsoft.com/office/drawing/2014/chart" uri="{C3380CC4-5D6E-409C-BE32-E72D297353CC}">
              <c16:uniqueId val="{00000000-3CC8-6149-94B0-62A0E502C064}"/>
            </c:ext>
          </c:extLst>
        </c:ser>
        <c:ser>
          <c:idx val="1"/>
          <c:order val="1"/>
          <c:tx>
            <c:v>Soglia Randomness</c:v>
          </c:tx>
          <c:spPr>
            <a:ln w="28575" cap="rnd">
              <a:solidFill>
                <a:schemeClr val="accent2"/>
              </a:solidFill>
              <a:round/>
            </a:ln>
            <a:effectLst/>
          </c:spPr>
          <c:marker>
            <c:symbol val="none"/>
          </c:marker>
          <c:val>
            <c:numRef>
              <c:f>'first_round_of_test (Sara)'!$X$3:$X$18</c:f>
            </c:numRef>
          </c:val>
          <c:smooth val="0"/>
          <c:extLst>
            <c:ext xmlns:c16="http://schemas.microsoft.com/office/drawing/2014/chart" uri="{C3380CC4-5D6E-409C-BE32-E72D297353CC}">
              <c16:uniqueId val="{00000001-3CC8-6149-94B0-62A0E502C064}"/>
            </c:ext>
          </c:extLst>
        </c:ser>
        <c:dLbls>
          <c:showLegendKey val="0"/>
          <c:showVal val="0"/>
          <c:showCatName val="0"/>
          <c:showSerName val="0"/>
          <c:showPercent val="0"/>
          <c:showBubbleSize val="0"/>
        </c:dLbls>
        <c:smooth val="0"/>
        <c:axId val="1570901503"/>
        <c:axId val="1570911807"/>
      </c:lineChart>
      <c:catAx>
        <c:axId val="157090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11807"/>
        <c:crosses val="autoZero"/>
        <c:auto val="1"/>
        <c:lblAlgn val="ctr"/>
        <c:lblOffset val="100"/>
        <c:noMultiLvlLbl val="0"/>
      </c:catAx>
      <c:valAx>
        <c:axId val="1570911807"/>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01503"/>
        <c:crosses val="autoZero"/>
        <c:crossBetween val="between"/>
        <c:majorUnit val="0.2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IT"/>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Utente 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T"/>
        </a:p>
      </c:txPr>
    </c:title>
    <c:autoTitleDeleted val="0"/>
    <c:plotArea>
      <c:layout/>
      <c:lineChart>
        <c:grouping val="standard"/>
        <c:varyColors val="0"/>
        <c:ser>
          <c:idx val="0"/>
          <c:order val="0"/>
          <c:spPr>
            <a:ln w="28575" cap="rnd">
              <a:solidFill>
                <a:schemeClr val="accent1"/>
              </a:solidFill>
              <a:round/>
            </a:ln>
            <a:effectLst/>
          </c:spPr>
          <c:marker>
            <c:symbol val="none"/>
          </c:marker>
          <c:val>
            <c:numRef>
              <c:f>'first_round_of_test (Sara)'!$K$67:$K$82</c:f>
              <c:numCache>
                <c:formatCode>General</c:formatCode>
                <c:ptCount val="2"/>
                <c:pt idx="0">
                  <c:v>1</c:v>
                </c:pt>
                <c:pt idx="1">
                  <c:v>0.5</c:v>
                </c:pt>
              </c:numCache>
            </c:numRef>
          </c:val>
          <c:smooth val="0"/>
          <c:extLst>
            <c:ext xmlns:c16="http://schemas.microsoft.com/office/drawing/2014/chart" uri="{C3380CC4-5D6E-409C-BE32-E72D297353CC}">
              <c16:uniqueId val="{00000000-E59D-F444-A976-00F425E66FC8}"/>
            </c:ext>
          </c:extLst>
        </c:ser>
        <c:ser>
          <c:idx val="1"/>
          <c:order val="1"/>
          <c:tx>
            <c:v>Soglia Randomness</c:v>
          </c:tx>
          <c:spPr>
            <a:ln w="28575" cap="rnd">
              <a:solidFill>
                <a:schemeClr val="accent2"/>
              </a:solidFill>
              <a:round/>
            </a:ln>
            <a:effectLst/>
          </c:spPr>
          <c:marker>
            <c:symbol val="none"/>
          </c:marker>
          <c:val>
            <c:numRef>
              <c:f>'first_round_of_test (Sara)'!$X$3:$X$18</c:f>
            </c:numRef>
          </c:val>
          <c:smooth val="0"/>
          <c:extLst>
            <c:ext xmlns:c16="http://schemas.microsoft.com/office/drawing/2014/chart" uri="{C3380CC4-5D6E-409C-BE32-E72D297353CC}">
              <c16:uniqueId val="{00000001-E59D-F444-A976-00F425E66FC8}"/>
            </c:ext>
          </c:extLst>
        </c:ser>
        <c:dLbls>
          <c:showLegendKey val="0"/>
          <c:showVal val="0"/>
          <c:showCatName val="0"/>
          <c:showSerName val="0"/>
          <c:showPercent val="0"/>
          <c:showBubbleSize val="0"/>
        </c:dLbls>
        <c:smooth val="0"/>
        <c:axId val="1570901503"/>
        <c:axId val="1570911807"/>
      </c:lineChart>
      <c:catAx>
        <c:axId val="157090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11807"/>
        <c:crosses val="autoZero"/>
        <c:auto val="1"/>
        <c:lblAlgn val="ctr"/>
        <c:lblOffset val="100"/>
        <c:noMultiLvlLbl val="0"/>
      </c:catAx>
      <c:valAx>
        <c:axId val="1570911807"/>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01503"/>
        <c:crosses val="autoZero"/>
        <c:crossBetween val="between"/>
        <c:majorUnit val="0.2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IT"/>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Utente 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T"/>
        </a:p>
      </c:txPr>
    </c:title>
    <c:autoTitleDeleted val="0"/>
    <c:plotArea>
      <c:layout/>
      <c:lineChart>
        <c:grouping val="standard"/>
        <c:varyColors val="0"/>
        <c:ser>
          <c:idx val="0"/>
          <c:order val="0"/>
          <c:spPr>
            <a:ln w="28575" cap="rnd">
              <a:solidFill>
                <a:schemeClr val="accent1"/>
              </a:solidFill>
              <a:round/>
            </a:ln>
            <a:effectLst/>
          </c:spPr>
          <c:marker>
            <c:symbol val="none"/>
          </c:marker>
          <c:val>
            <c:numRef>
              <c:f>'first_round_of_test (Sara)'!$K$83:$K$98</c:f>
              <c:numCache>
                <c:formatCode>General</c:formatCode>
                <c:ptCount val="3"/>
                <c:pt idx="0">
                  <c:v>0.5</c:v>
                </c:pt>
                <c:pt idx="1">
                  <c:v>0.5</c:v>
                </c:pt>
                <c:pt idx="2">
                  <c:v>1</c:v>
                </c:pt>
              </c:numCache>
            </c:numRef>
          </c:val>
          <c:smooth val="0"/>
          <c:extLst>
            <c:ext xmlns:c16="http://schemas.microsoft.com/office/drawing/2014/chart" uri="{C3380CC4-5D6E-409C-BE32-E72D297353CC}">
              <c16:uniqueId val="{00000000-F0C4-F848-927B-4656E18A5D33}"/>
            </c:ext>
          </c:extLst>
        </c:ser>
        <c:ser>
          <c:idx val="1"/>
          <c:order val="1"/>
          <c:tx>
            <c:v>Soglia Randomness</c:v>
          </c:tx>
          <c:spPr>
            <a:ln w="28575" cap="rnd">
              <a:solidFill>
                <a:schemeClr val="accent2"/>
              </a:solidFill>
              <a:round/>
            </a:ln>
            <a:effectLst/>
          </c:spPr>
          <c:marker>
            <c:symbol val="none"/>
          </c:marker>
          <c:val>
            <c:numRef>
              <c:f>'first_round_of_test (Sara)'!$X$3:$X$18</c:f>
            </c:numRef>
          </c:val>
          <c:smooth val="0"/>
          <c:extLst>
            <c:ext xmlns:c16="http://schemas.microsoft.com/office/drawing/2014/chart" uri="{C3380CC4-5D6E-409C-BE32-E72D297353CC}">
              <c16:uniqueId val="{00000001-F0C4-F848-927B-4656E18A5D33}"/>
            </c:ext>
          </c:extLst>
        </c:ser>
        <c:dLbls>
          <c:showLegendKey val="0"/>
          <c:showVal val="0"/>
          <c:showCatName val="0"/>
          <c:showSerName val="0"/>
          <c:showPercent val="0"/>
          <c:showBubbleSize val="0"/>
        </c:dLbls>
        <c:smooth val="0"/>
        <c:axId val="1570901503"/>
        <c:axId val="1570911807"/>
      </c:lineChart>
      <c:catAx>
        <c:axId val="157090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11807"/>
        <c:crosses val="autoZero"/>
        <c:auto val="1"/>
        <c:lblAlgn val="ctr"/>
        <c:lblOffset val="100"/>
        <c:noMultiLvlLbl val="0"/>
      </c:catAx>
      <c:valAx>
        <c:axId val="1570911807"/>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01503"/>
        <c:crosses val="autoZero"/>
        <c:crossBetween val="between"/>
        <c:majorUnit val="0.2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IT"/>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Utente 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T"/>
        </a:p>
      </c:txPr>
    </c:title>
    <c:autoTitleDeleted val="0"/>
    <c:plotArea>
      <c:layout/>
      <c:lineChart>
        <c:grouping val="standard"/>
        <c:varyColors val="0"/>
        <c:ser>
          <c:idx val="0"/>
          <c:order val="0"/>
          <c:spPr>
            <a:ln w="28575" cap="rnd">
              <a:solidFill>
                <a:schemeClr val="accent1"/>
              </a:solidFill>
              <a:round/>
            </a:ln>
            <a:effectLst/>
          </c:spPr>
          <c:marker>
            <c:symbol val="none"/>
          </c:marker>
          <c:val>
            <c:numRef>
              <c:f>'first_round_of_test (Sara)'!$K$99:$K$114</c:f>
              <c:numCache>
                <c:formatCode>General</c:formatCode>
                <c:ptCount val="4"/>
                <c:pt idx="0">
                  <c:v>0.5</c:v>
                </c:pt>
                <c:pt idx="1">
                  <c:v>0.5</c:v>
                </c:pt>
                <c:pt idx="2">
                  <c:v>0.5</c:v>
                </c:pt>
                <c:pt idx="3">
                  <c:v>0.8</c:v>
                </c:pt>
              </c:numCache>
            </c:numRef>
          </c:val>
          <c:smooth val="0"/>
          <c:extLst>
            <c:ext xmlns:c16="http://schemas.microsoft.com/office/drawing/2014/chart" uri="{C3380CC4-5D6E-409C-BE32-E72D297353CC}">
              <c16:uniqueId val="{00000000-4CE4-2D4E-853C-8F836FABA975}"/>
            </c:ext>
          </c:extLst>
        </c:ser>
        <c:ser>
          <c:idx val="1"/>
          <c:order val="1"/>
          <c:tx>
            <c:v>Soglia Randomness</c:v>
          </c:tx>
          <c:spPr>
            <a:ln w="28575" cap="rnd">
              <a:solidFill>
                <a:schemeClr val="accent2"/>
              </a:solidFill>
              <a:round/>
            </a:ln>
            <a:effectLst/>
          </c:spPr>
          <c:marker>
            <c:symbol val="none"/>
          </c:marker>
          <c:val>
            <c:numRef>
              <c:f>'first_round_of_test (Sara)'!$X$3:$X$18</c:f>
            </c:numRef>
          </c:val>
          <c:smooth val="0"/>
          <c:extLst>
            <c:ext xmlns:c16="http://schemas.microsoft.com/office/drawing/2014/chart" uri="{C3380CC4-5D6E-409C-BE32-E72D297353CC}">
              <c16:uniqueId val="{00000001-4CE4-2D4E-853C-8F836FABA975}"/>
            </c:ext>
          </c:extLst>
        </c:ser>
        <c:dLbls>
          <c:showLegendKey val="0"/>
          <c:showVal val="0"/>
          <c:showCatName val="0"/>
          <c:showSerName val="0"/>
          <c:showPercent val="0"/>
          <c:showBubbleSize val="0"/>
        </c:dLbls>
        <c:smooth val="0"/>
        <c:axId val="1570901503"/>
        <c:axId val="1570911807"/>
      </c:lineChart>
      <c:catAx>
        <c:axId val="157090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11807"/>
        <c:crosses val="autoZero"/>
        <c:auto val="1"/>
        <c:lblAlgn val="ctr"/>
        <c:lblOffset val="100"/>
        <c:noMultiLvlLbl val="0"/>
      </c:catAx>
      <c:valAx>
        <c:axId val="1570911807"/>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01503"/>
        <c:crosses val="autoZero"/>
        <c:crossBetween val="between"/>
        <c:majorUnit val="0.2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IT"/>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Utente 8</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T"/>
        </a:p>
      </c:txPr>
    </c:title>
    <c:autoTitleDeleted val="0"/>
    <c:plotArea>
      <c:layout/>
      <c:lineChart>
        <c:grouping val="standard"/>
        <c:varyColors val="0"/>
        <c:ser>
          <c:idx val="0"/>
          <c:order val="0"/>
          <c:spPr>
            <a:ln w="28575" cap="rnd">
              <a:solidFill>
                <a:schemeClr val="accent1"/>
              </a:solidFill>
              <a:round/>
            </a:ln>
            <a:effectLst/>
          </c:spPr>
          <c:marker>
            <c:symbol val="none"/>
          </c:marker>
          <c:val>
            <c:numRef>
              <c:f>'first_round_of_test (Sara)'!$K$115:$K$130</c:f>
              <c:numCache>
                <c:formatCode>General</c:formatCode>
                <c:ptCount val="3"/>
                <c:pt idx="0">
                  <c:v>0.5</c:v>
                </c:pt>
                <c:pt idx="1">
                  <c:v>0.5</c:v>
                </c:pt>
                <c:pt idx="2">
                  <c:v>0.5</c:v>
                </c:pt>
              </c:numCache>
            </c:numRef>
          </c:val>
          <c:smooth val="0"/>
          <c:extLst>
            <c:ext xmlns:c16="http://schemas.microsoft.com/office/drawing/2014/chart" uri="{C3380CC4-5D6E-409C-BE32-E72D297353CC}">
              <c16:uniqueId val="{00000000-9EB7-584C-BCAE-A8C2511C8455}"/>
            </c:ext>
          </c:extLst>
        </c:ser>
        <c:ser>
          <c:idx val="1"/>
          <c:order val="1"/>
          <c:tx>
            <c:v>Soglia Randomness</c:v>
          </c:tx>
          <c:spPr>
            <a:ln w="28575" cap="rnd">
              <a:solidFill>
                <a:schemeClr val="accent2"/>
              </a:solidFill>
              <a:round/>
            </a:ln>
            <a:effectLst/>
          </c:spPr>
          <c:marker>
            <c:symbol val="none"/>
          </c:marker>
          <c:val>
            <c:numRef>
              <c:f>'first_round_of_test (Sara)'!$X$3:$X$18</c:f>
            </c:numRef>
          </c:val>
          <c:smooth val="0"/>
          <c:extLst>
            <c:ext xmlns:c16="http://schemas.microsoft.com/office/drawing/2014/chart" uri="{C3380CC4-5D6E-409C-BE32-E72D297353CC}">
              <c16:uniqueId val="{00000001-9EB7-584C-BCAE-A8C2511C8455}"/>
            </c:ext>
          </c:extLst>
        </c:ser>
        <c:dLbls>
          <c:showLegendKey val="0"/>
          <c:showVal val="0"/>
          <c:showCatName val="0"/>
          <c:showSerName val="0"/>
          <c:showPercent val="0"/>
          <c:showBubbleSize val="0"/>
        </c:dLbls>
        <c:smooth val="0"/>
        <c:axId val="1570901503"/>
        <c:axId val="1570911807"/>
      </c:lineChart>
      <c:catAx>
        <c:axId val="157090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11807"/>
        <c:crosses val="autoZero"/>
        <c:auto val="1"/>
        <c:lblAlgn val="ctr"/>
        <c:lblOffset val="100"/>
        <c:noMultiLvlLbl val="0"/>
      </c:catAx>
      <c:valAx>
        <c:axId val="1570911807"/>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01503"/>
        <c:crosses val="autoZero"/>
        <c:crossBetween val="between"/>
        <c:majorUnit val="0.2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IT"/>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Utente 9</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T"/>
        </a:p>
      </c:txPr>
    </c:title>
    <c:autoTitleDeleted val="0"/>
    <c:plotArea>
      <c:layout/>
      <c:lineChart>
        <c:grouping val="standard"/>
        <c:varyColors val="0"/>
        <c:ser>
          <c:idx val="0"/>
          <c:order val="0"/>
          <c:spPr>
            <a:ln w="28575" cap="rnd">
              <a:solidFill>
                <a:schemeClr val="accent1"/>
              </a:solidFill>
              <a:round/>
            </a:ln>
            <a:effectLst/>
          </c:spPr>
          <c:marker>
            <c:symbol val="none"/>
          </c:marker>
          <c:val>
            <c:numRef>
              <c:f>'first_round_of_test (Sara)'!$K$131:$K$146</c:f>
            </c:numRef>
          </c:val>
          <c:smooth val="0"/>
          <c:extLst>
            <c:ext xmlns:c16="http://schemas.microsoft.com/office/drawing/2014/chart" uri="{C3380CC4-5D6E-409C-BE32-E72D297353CC}">
              <c16:uniqueId val="{00000000-8FDA-D14B-B5E1-8B80AC09BE89}"/>
            </c:ext>
          </c:extLst>
        </c:ser>
        <c:ser>
          <c:idx val="1"/>
          <c:order val="1"/>
          <c:tx>
            <c:v>Soglia Randomness</c:v>
          </c:tx>
          <c:spPr>
            <a:ln w="28575" cap="rnd">
              <a:solidFill>
                <a:schemeClr val="accent2"/>
              </a:solidFill>
              <a:round/>
            </a:ln>
            <a:effectLst/>
          </c:spPr>
          <c:marker>
            <c:symbol val="none"/>
          </c:marker>
          <c:val>
            <c:numRef>
              <c:f>'first_round_of_test (Sara)'!$X$3:$X$18</c:f>
            </c:numRef>
          </c:val>
          <c:smooth val="0"/>
          <c:extLst>
            <c:ext xmlns:c16="http://schemas.microsoft.com/office/drawing/2014/chart" uri="{C3380CC4-5D6E-409C-BE32-E72D297353CC}">
              <c16:uniqueId val="{00000001-8FDA-D14B-B5E1-8B80AC09BE89}"/>
            </c:ext>
          </c:extLst>
        </c:ser>
        <c:dLbls>
          <c:showLegendKey val="0"/>
          <c:showVal val="0"/>
          <c:showCatName val="0"/>
          <c:showSerName val="0"/>
          <c:showPercent val="0"/>
          <c:showBubbleSize val="0"/>
        </c:dLbls>
        <c:marker val="1"/>
        <c:smooth val="0"/>
        <c:axId val="1570901503"/>
        <c:axId val="1570911807"/>
      </c:lineChart>
      <c:catAx>
        <c:axId val="157090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11807"/>
        <c:crosses val="autoZero"/>
        <c:auto val="1"/>
        <c:lblAlgn val="ctr"/>
        <c:lblOffset val="100"/>
        <c:noMultiLvlLbl val="0"/>
      </c:catAx>
      <c:valAx>
        <c:axId val="1570911807"/>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01503"/>
        <c:crosses val="autoZero"/>
        <c:crossBetween val="between"/>
        <c:majorUnit val="0.2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IT"/>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Utente 10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T"/>
        </a:p>
      </c:txPr>
    </c:title>
    <c:autoTitleDeleted val="0"/>
    <c:plotArea>
      <c:layout/>
      <c:lineChart>
        <c:grouping val="standard"/>
        <c:varyColors val="0"/>
        <c:ser>
          <c:idx val="0"/>
          <c:order val="0"/>
          <c:spPr>
            <a:ln w="28575" cap="rnd">
              <a:solidFill>
                <a:schemeClr val="accent1"/>
              </a:solidFill>
              <a:round/>
            </a:ln>
            <a:effectLst/>
          </c:spPr>
          <c:marker>
            <c:symbol val="none"/>
          </c:marker>
          <c:val>
            <c:numRef>
              <c:f>'first_round_of_test (Sara)'!$K$147:$K$162</c:f>
              <c:numCache>
                <c:formatCode>General</c:formatCode>
                <c:ptCount val="6"/>
                <c:pt idx="0">
                  <c:v>0.5</c:v>
                </c:pt>
                <c:pt idx="1">
                  <c:v>0.5</c:v>
                </c:pt>
                <c:pt idx="2">
                  <c:v>0.5</c:v>
                </c:pt>
                <c:pt idx="3">
                  <c:v>0.5</c:v>
                </c:pt>
                <c:pt idx="4">
                  <c:v>0.8</c:v>
                </c:pt>
                <c:pt idx="5">
                  <c:v>0.5</c:v>
                </c:pt>
              </c:numCache>
            </c:numRef>
          </c:val>
          <c:smooth val="0"/>
          <c:extLst>
            <c:ext xmlns:c16="http://schemas.microsoft.com/office/drawing/2014/chart" uri="{C3380CC4-5D6E-409C-BE32-E72D297353CC}">
              <c16:uniqueId val="{00000000-01F1-2F4A-8652-B70918DC70F6}"/>
            </c:ext>
          </c:extLst>
        </c:ser>
        <c:ser>
          <c:idx val="1"/>
          <c:order val="1"/>
          <c:tx>
            <c:v>Soglia Randomness</c:v>
          </c:tx>
          <c:spPr>
            <a:ln w="28575" cap="rnd">
              <a:solidFill>
                <a:schemeClr val="accent2"/>
              </a:solidFill>
              <a:round/>
            </a:ln>
            <a:effectLst/>
          </c:spPr>
          <c:marker>
            <c:symbol val="none"/>
          </c:marker>
          <c:val>
            <c:numRef>
              <c:f>'first_round_of_test (Sara)'!$X$3:$X$18</c:f>
            </c:numRef>
          </c:val>
          <c:smooth val="0"/>
          <c:extLst>
            <c:ext xmlns:c16="http://schemas.microsoft.com/office/drawing/2014/chart" uri="{C3380CC4-5D6E-409C-BE32-E72D297353CC}">
              <c16:uniqueId val="{00000001-01F1-2F4A-8652-B70918DC70F6}"/>
            </c:ext>
          </c:extLst>
        </c:ser>
        <c:dLbls>
          <c:showLegendKey val="0"/>
          <c:showVal val="0"/>
          <c:showCatName val="0"/>
          <c:showSerName val="0"/>
          <c:showPercent val="0"/>
          <c:showBubbleSize val="0"/>
        </c:dLbls>
        <c:smooth val="0"/>
        <c:axId val="1570901503"/>
        <c:axId val="1570911807"/>
      </c:lineChart>
      <c:catAx>
        <c:axId val="157090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11807"/>
        <c:crosses val="autoZero"/>
        <c:auto val="1"/>
        <c:lblAlgn val="ctr"/>
        <c:lblOffset val="100"/>
        <c:noMultiLvlLbl val="0"/>
      </c:catAx>
      <c:valAx>
        <c:axId val="1570911807"/>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01503"/>
        <c:crosses val="autoZero"/>
        <c:crossBetween val="between"/>
        <c:majorUnit val="0.2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IT"/>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Utente 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T"/>
        </a:p>
      </c:txPr>
    </c:title>
    <c:autoTitleDeleted val="0"/>
    <c:plotArea>
      <c:layout/>
      <c:lineChart>
        <c:grouping val="standard"/>
        <c:varyColors val="0"/>
        <c:ser>
          <c:idx val="0"/>
          <c:order val="0"/>
          <c:tx>
            <c:v>Accuratezza Risposte</c:v>
          </c:tx>
          <c:spPr>
            <a:ln w="28575" cap="rnd">
              <a:solidFill>
                <a:schemeClr val="accent1"/>
              </a:solidFill>
              <a:round/>
            </a:ln>
            <a:effectLst/>
          </c:spPr>
          <c:marker>
            <c:symbol val="none"/>
          </c:marker>
          <c:val>
            <c:numRef>
              <c:f>'first_round_of_test (soglie)'!$K$3:$K$18</c:f>
              <c:numCache>
                <c:formatCode>0.0</c:formatCode>
                <c:ptCount val="16"/>
                <c:pt idx="0">
                  <c:v>1</c:v>
                </c:pt>
                <c:pt idx="1">
                  <c:v>0.2</c:v>
                </c:pt>
                <c:pt idx="2" formatCode="General">
                  <c:v>0.5</c:v>
                </c:pt>
                <c:pt idx="3" formatCode="General">
                  <c:v>0.6</c:v>
                </c:pt>
                <c:pt idx="4" formatCode="General">
                  <c:v>0.5</c:v>
                </c:pt>
                <c:pt idx="5" formatCode="General">
                  <c:v>1</c:v>
                </c:pt>
                <c:pt idx="6" formatCode="General">
                  <c:v>0.5</c:v>
                </c:pt>
                <c:pt idx="7" formatCode="General">
                  <c:v>0.8</c:v>
                </c:pt>
                <c:pt idx="8" formatCode="General">
                  <c:v>0.5</c:v>
                </c:pt>
                <c:pt idx="9" formatCode="General">
                  <c:v>0.8</c:v>
                </c:pt>
                <c:pt idx="10" formatCode="General">
                  <c:v>0.6</c:v>
                </c:pt>
                <c:pt idx="11" formatCode="General">
                  <c:v>0.5</c:v>
                </c:pt>
                <c:pt idx="12" formatCode="General">
                  <c:v>0.8</c:v>
                </c:pt>
                <c:pt idx="13" formatCode="General">
                  <c:v>0.5</c:v>
                </c:pt>
                <c:pt idx="14" formatCode="General">
                  <c:v>0.4</c:v>
                </c:pt>
                <c:pt idx="15" formatCode="General">
                  <c:v>0.25</c:v>
                </c:pt>
              </c:numCache>
            </c:numRef>
          </c:val>
          <c:smooth val="0"/>
          <c:extLst>
            <c:ext xmlns:c16="http://schemas.microsoft.com/office/drawing/2014/chart" uri="{C3380CC4-5D6E-409C-BE32-E72D297353CC}">
              <c16:uniqueId val="{00000000-9245-7A4F-839C-507937CD025C}"/>
            </c:ext>
          </c:extLst>
        </c:ser>
        <c:ser>
          <c:idx val="1"/>
          <c:order val="1"/>
          <c:tx>
            <c:v>Soglia Randomness</c:v>
          </c:tx>
          <c:spPr>
            <a:ln w="28575" cap="rnd">
              <a:solidFill>
                <a:schemeClr val="accent2"/>
              </a:solidFill>
              <a:round/>
            </a:ln>
            <a:effectLst/>
          </c:spPr>
          <c:marker>
            <c:symbol val="none"/>
          </c:marker>
          <c:val>
            <c:numRef>
              <c:f>'first_round_of_test (soglie)'!$X$3:$X$18</c:f>
              <c:numCache>
                <c:formatCode>General</c:formatCode>
                <c:ptCount val="16"/>
                <c:pt idx="0">
                  <c:v>0.5</c:v>
                </c:pt>
                <c:pt idx="1">
                  <c:v>0.5</c:v>
                </c:pt>
                <c:pt idx="2">
                  <c:v>0.5</c:v>
                </c:pt>
                <c:pt idx="3">
                  <c:v>0.5</c:v>
                </c:pt>
                <c:pt idx="4">
                  <c:v>0.5</c:v>
                </c:pt>
                <c:pt idx="5">
                  <c:v>0.5</c:v>
                </c:pt>
                <c:pt idx="6">
                  <c:v>0.5</c:v>
                </c:pt>
                <c:pt idx="7">
                  <c:v>0.5</c:v>
                </c:pt>
                <c:pt idx="8">
                  <c:v>0.5</c:v>
                </c:pt>
                <c:pt idx="9">
                  <c:v>0.5</c:v>
                </c:pt>
                <c:pt idx="10">
                  <c:v>0.5</c:v>
                </c:pt>
                <c:pt idx="11">
                  <c:v>0.5</c:v>
                </c:pt>
                <c:pt idx="12">
                  <c:v>0.5</c:v>
                </c:pt>
                <c:pt idx="13">
                  <c:v>0.5</c:v>
                </c:pt>
                <c:pt idx="14">
                  <c:v>0.5</c:v>
                </c:pt>
                <c:pt idx="15">
                  <c:v>0.5</c:v>
                </c:pt>
              </c:numCache>
            </c:numRef>
          </c:val>
          <c:smooth val="0"/>
          <c:extLst>
            <c:ext xmlns:c16="http://schemas.microsoft.com/office/drawing/2014/chart" uri="{C3380CC4-5D6E-409C-BE32-E72D297353CC}">
              <c16:uniqueId val="{00000001-9245-7A4F-839C-507937CD025C}"/>
            </c:ext>
          </c:extLst>
        </c:ser>
        <c:dLbls>
          <c:showLegendKey val="0"/>
          <c:showVal val="0"/>
          <c:showCatName val="0"/>
          <c:showSerName val="0"/>
          <c:showPercent val="0"/>
          <c:showBubbleSize val="0"/>
        </c:dLbls>
        <c:smooth val="0"/>
        <c:axId val="1570901503"/>
        <c:axId val="1570911807"/>
      </c:lineChart>
      <c:catAx>
        <c:axId val="157090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11807"/>
        <c:crosses val="autoZero"/>
        <c:auto val="1"/>
        <c:lblAlgn val="ctr"/>
        <c:lblOffset val="100"/>
        <c:noMultiLvlLbl val="0"/>
      </c:catAx>
      <c:valAx>
        <c:axId val="1570911807"/>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01503"/>
        <c:crosses val="autoZero"/>
        <c:crossBetween val="between"/>
        <c:majorUnit val="0.2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IT"/>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Utente 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T"/>
        </a:p>
      </c:txPr>
    </c:title>
    <c:autoTitleDeleted val="0"/>
    <c:plotArea>
      <c:layout/>
      <c:lineChart>
        <c:grouping val="standard"/>
        <c:varyColors val="0"/>
        <c:ser>
          <c:idx val="0"/>
          <c:order val="0"/>
          <c:spPr>
            <a:ln w="28575" cap="rnd">
              <a:solidFill>
                <a:schemeClr val="accent1"/>
              </a:solidFill>
              <a:round/>
            </a:ln>
            <a:effectLst/>
          </c:spPr>
          <c:marker>
            <c:symbol val="none"/>
          </c:marker>
          <c:val>
            <c:numRef>
              <c:f>'first_round_of_test (soglie)'!$K$19:$K$34</c:f>
              <c:numCache>
                <c:formatCode>General</c:formatCode>
                <c:ptCount val="16"/>
                <c:pt idx="0">
                  <c:v>0.5</c:v>
                </c:pt>
                <c:pt idx="1">
                  <c:v>1</c:v>
                </c:pt>
                <c:pt idx="2">
                  <c:v>0.5</c:v>
                </c:pt>
                <c:pt idx="3">
                  <c:v>0.4</c:v>
                </c:pt>
                <c:pt idx="4">
                  <c:v>0.5</c:v>
                </c:pt>
                <c:pt idx="5">
                  <c:v>0.8</c:v>
                </c:pt>
                <c:pt idx="6">
                  <c:v>0.5</c:v>
                </c:pt>
                <c:pt idx="7">
                  <c:v>1</c:v>
                </c:pt>
                <c:pt idx="8">
                  <c:v>0.5</c:v>
                </c:pt>
                <c:pt idx="9">
                  <c:v>0.4</c:v>
                </c:pt>
                <c:pt idx="10">
                  <c:v>0.6</c:v>
                </c:pt>
                <c:pt idx="11">
                  <c:v>0.5</c:v>
                </c:pt>
                <c:pt idx="12">
                  <c:v>0.6</c:v>
                </c:pt>
                <c:pt idx="13">
                  <c:v>0.5</c:v>
                </c:pt>
                <c:pt idx="14">
                  <c:v>0.6</c:v>
                </c:pt>
                <c:pt idx="15">
                  <c:v>0.75</c:v>
                </c:pt>
              </c:numCache>
            </c:numRef>
          </c:val>
          <c:smooth val="0"/>
          <c:extLst>
            <c:ext xmlns:c16="http://schemas.microsoft.com/office/drawing/2014/chart" uri="{C3380CC4-5D6E-409C-BE32-E72D297353CC}">
              <c16:uniqueId val="{00000000-979C-2247-BBF7-736AB706A0A2}"/>
            </c:ext>
          </c:extLst>
        </c:ser>
        <c:ser>
          <c:idx val="1"/>
          <c:order val="1"/>
          <c:tx>
            <c:v>Soglia Randomness</c:v>
          </c:tx>
          <c:spPr>
            <a:ln w="28575" cap="rnd">
              <a:solidFill>
                <a:schemeClr val="accent2"/>
              </a:solidFill>
              <a:round/>
            </a:ln>
            <a:effectLst/>
          </c:spPr>
          <c:marker>
            <c:symbol val="none"/>
          </c:marker>
          <c:val>
            <c:numRef>
              <c:f>'first_round_of_test (soglie)'!$X$3:$X$18</c:f>
              <c:numCache>
                <c:formatCode>General</c:formatCode>
                <c:ptCount val="16"/>
                <c:pt idx="0">
                  <c:v>0.5</c:v>
                </c:pt>
                <c:pt idx="1">
                  <c:v>0.5</c:v>
                </c:pt>
                <c:pt idx="2">
                  <c:v>0.5</c:v>
                </c:pt>
                <c:pt idx="3">
                  <c:v>0.5</c:v>
                </c:pt>
                <c:pt idx="4">
                  <c:v>0.5</c:v>
                </c:pt>
                <c:pt idx="5">
                  <c:v>0.5</c:v>
                </c:pt>
                <c:pt idx="6">
                  <c:v>0.5</c:v>
                </c:pt>
                <c:pt idx="7">
                  <c:v>0.5</c:v>
                </c:pt>
                <c:pt idx="8">
                  <c:v>0.5</c:v>
                </c:pt>
                <c:pt idx="9">
                  <c:v>0.5</c:v>
                </c:pt>
                <c:pt idx="10">
                  <c:v>0.5</c:v>
                </c:pt>
                <c:pt idx="11">
                  <c:v>0.5</c:v>
                </c:pt>
                <c:pt idx="12">
                  <c:v>0.5</c:v>
                </c:pt>
                <c:pt idx="13">
                  <c:v>0.5</c:v>
                </c:pt>
                <c:pt idx="14">
                  <c:v>0.5</c:v>
                </c:pt>
                <c:pt idx="15">
                  <c:v>0.5</c:v>
                </c:pt>
              </c:numCache>
            </c:numRef>
          </c:val>
          <c:smooth val="0"/>
          <c:extLst>
            <c:ext xmlns:c16="http://schemas.microsoft.com/office/drawing/2014/chart" uri="{C3380CC4-5D6E-409C-BE32-E72D297353CC}">
              <c16:uniqueId val="{00000001-979C-2247-BBF7-736AB706A0A2}"/>
            </c:ext>
          </c:extLst>
        </c:ser>
        <c:dLbls>
          <c:showLegendKey val="0"/>
          <c:showVal val="0"/>
          <c:showCatName val="0"/>
          <c:showSerName val="0"/>
          <c:showPercent val="0"/>
          <c:showBubbleSize val="0"/>
        </c:dLbls>
        <c:smooth val="0"/>
        <c:axId val="1570901503"/>
        <c:axId val="1570911807"/>
      </c:lineChart>
      <c:catAx>
        <c:axId val="157090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11807"/>
        <c:crosses val="autoZero"/>
        <c:auto val="1"/>
        <c:lblAlgn val="ctr"/>
        <c:lblOffset val="100"/>
        <c:noMultiLvlLbl val="0"/>
      </c:catAx>
      <c:valAx>
        <c:axId val="1570911807"/>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01503"/>
        <c:crosses val="autoZero"/>
        <c:crossBetween val="between"/>
        <c:majorUnit val="0.2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IT"/>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Utente 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T"/>
        </a:p>
      </c:txPr>
    </c:title>
    <c:autoTitleDeleted val="0"/>
    <c:plotArea>
      <c:layout/>
      <c:lineChart>
        <c:grouping val="standard"/>
        <c:varyColors val="0"/>
        <c:ser>
          <c:idx val="0"/>
          <c:order val="0"/>
          <c:tx>
            <c:v>Analisi Statistica</c:v>
          </c:tx>
          <c:spPr>
            <a:ln w="28575" cap="rnd">
              <a:solidFill>
                <a:schemeClr val="accent2"/>
              </a:solidFill>
              <a:round/>
            </a:ln>
            <a:effectLst/>
          </c:spPr>
          <c:marker>
            <c:symbol val="none"/>
          </c:marker>
          <c:val>
            <c:numRef>
              <c:f>'first_round_of_test (soglie)'!$K$3:$K$18</c:f>
              <c:numCache>
                <c:formatCode>0.0</c:formatCode>
                <c:ptCount val="16"/>
                <c:pt idx="0">
                  <c:v>1</c:v>
                </c:pt>
                <c:pt idx="1">
                  <c:v>0.2</c:v>
                </c:pt>
                <c:pt idx="2" formatCode="General">
                  <c:v>0.5</c:v>
                </c:pt>
                <c:pt idx="3" formatCode="General">
                  <c:v>0.6</c:v>
                </c:pt>
                <c:pt idx="4" formatCode="General">
                  <c:v>0.5</c:v>
                </c:pt>
                <c:pt idx="5" formatCode="General">
                  <c:v>1</c:v>
                </c:pt>
                <c:pt idx="6" formatCode="General">
                  <c:v>0.5</c:v>
                </c:pt>
                <c:pt idx="7" formatCode="General">
                  <c:v>0.8</c:v>
                </c:pt>
                <c:pt idx="8" formatCode="General">
                  <c:v>0.5</c:v>
                </c:pt>
                <c:pt idx="9" formatCode="General">
                  <c:v>0.8</c:v>
                </c:pt>
                <c:pt idx="10" formatCode="General">
                  <c:v>0.6</c:v>
                </c:pt>
                <c:pt idx="11" formatCode="General">
                  <c:v>0.5</c:v>
                </c:pt>
                <c:pt idx="12" formatCode="General">
                  <c:v>0.8</c:v>
                </c:pt>
                <c:pt idx="13" formatCode="General">
                  <c:v>0.5</c:v>
                </c:pt>
                <c:pt idx="14" formatCode="General">
                  <c:v>0.4</c:v>
                </c:pt>
                <c:pt idx="15" formatCode="General">
                  <c:v>0.25</c:v>
                </c:pt>
              </c:numCache>
            </c:numRef>
          </c:val>
          <c:smooth val="0"/>
          <c:extLst>
            <c:ext xmlns:c16="http://schemas.microsoft.com/office/drawing/2014/chart" uri="{C3380CC4-5D6E-409C-BE32-E72D297353CC}">
              <c16:uniqueId val="{00000000-F768-B647-8BA0-A23D24F26EF2}"/>
            </c:ext>
          </c:extLst>
        </c:ser>
        <c:ser>
          <c:idx val="1"/>
          <c:order val="1"/>
          <c:tx>
            <c:v>Soglia Randomness</c:v>
          </c:tx>
          <c:spPr>
            <a:ln w="28575" cap="rnd">
              <a:solidFill>
                <a:schemeClr val="accent4"/>
              </a:solidFill>
              <a:round/>
            </a:ln>
            <a:effectLst/>
          </c:spPr>
          <c:marker>
            <c:symbol val="none"/>
          </c:marker>
          <c:val>
            <c:numRef>
              <c:f>'first_round_of_test (soglie)'!$L$3:$L$18</c:f>
              <c:numCache>
                <c:formatCode>0</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val>
          <c:smooth val="0"/>
          <c:extLst>
            <c:ext xmlns:c16="http://schemas.microsoft.com/office/drawing/2014/chart" uri="{C3380CC4-5D6E-409C-BE32-E72D297353CC}">
              <c16:uniqueId val="{00000001-F768-B647-8BA0-A23D24F26EF2}"/>
            </c:ext>
          </c:extLst>
        </c:ser>
        <c:ser>
          <c:idx val="2"/>
          <c:order val="2"/>
          <c:tx>
            <c:v>Risposte Gemini</c:v>
          </c:tx>
          <c:spPr>
            <a:ln w="28575" cap="rnd">
              <a:solidFill>
                <a:schemeClr val="accent6"/>
              </a:solidFill>
              <a:round/>
            </a:ln>
            <a:effectLst/>
          </c:spPr>
          <c:marker>
            <c:symbol val="none"/>
          </c:marker>
          <c:val>
            <c:numRef>
              <c:f>'first_round_of_test (Sara)'!$K$3:$K$18</c:f>
            </c:numRef>
          </c:val>
          <c:smooth val="0"/>
          <c:extLst>
            <c:ext xmlns:c16="http://schemas.microsoft.com/office/drawing/2014/chart" uri="{C3380CC4-5D6E-409C-BE32-E72D297353CC}">
              <c16:uniqueId val="{00000002-F768-B647-8BA0-A23D24F26EF2}"/>
            </c:ext>
          </c:extLst>
        </c:ser>
        <c:dLbls>
          <c:showLegendKey val="0"/>
          <c:showVal val="0"/>
          <c:showCatName val="0"/>
          <c:showSerName val="0"/>
          <c:showPercent val="0"/>
          <c:showBubbleSize val="0"/>
        </c:dLbls>
        <c:smooth val="0"/>
        <c:axId val="1570901503"/>
        <c:axId val="1570911807"/>
      </c:lineChart>
      <c:catAx>
        <c:axId val="157090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11807"/>
        <c:crosses val="autoZero"/>
        <c:auto val="1"/>
        <c:lblAlgn val="ctr"/>
        <c:lblOffset val="100"/>
        <c:noMultiLvlLbl val="0"/>
      </c:catAx>
      <c:valAx>
        <c:axId val="1570911807"/>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01503"/>
        <c:crosses val="autoZero"/>
        <c:crossBetween val="between"/>
        <c:majorUnit val="0.25"/>
      </c:valAx>
      <c:spPr>
        <a:noFill/>
        <a:ln>
          <a:noFill/>
        </a:ln>
        <a:effectLst/>
      </c:spPr>
    </c:plotArea>
    <c:legend>
      <c:legendPos val="b"/>
      <c:legendEntry>
        <c:idx val="1"/>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IT"/>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Utente 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T"/>
        </a:p>
      </c:txPr>
    </c:title>
    <c:autoTitleDeleted val="0"/>
    <c:plotArea>
      <c:layout/>
      <c:lineChart>
        <c:grouping val="standard"/>
        <c:varyColors val="0"/>
        <c:ser>
          <c:idx val="0"/>
          <c:order val="0"/>
          <c:tx>
            <c:v>Analisi Statistica</c:v>
          </c:tx>
          <c:spPr>
            <a:ln w="28575" cap="rnd">
              <a:solidFill>
                <a:schemeClr val="accent2"/>
              </a:solidFill>
              <a:round/>
            </a:ln>
            <a:effectLst/>
          </c:spPr>
          <c:marker>
            <c:symbol val="none"/>
          </c:marker>
          <c:val>
            <c:numRef>
              <c:f>'first_round_of_test (soglie)'!$K$19:$K$34</c:f>
              <c:numCache>
                <c:formatCode>General</c:formatCode>
                <c:ptCount val="16"/>
                <c:pt idx="0">
                  <c:v>0.5</c:v>
                </c:pt>
                <c:pt idx="1">
                  <c:v>1</c:v>
                </c:pt>
                <c:pt idx="2">
                  <c:v>0.5</c:v>
                </c:pt>
                <c:pt idx="3">
                  <c:v>0.4</c:v>
                </c:pt>
                <c:pt idx="4">
                  <c:v>0.5</c:v>
                </c:pt>
                <c:pt idx="5">
                  <c:v>0.8</c:v>
                </c:pt>
                <c:pt idx="6">
                  <c:v>0.5</c:v>
                </c:pt>
                <c:pt idx="7">
                  <c:v>1</c:v>
                </c:pt>
                <c:pt idx="8">
                  <c:v>0.5</c:v>
                </c:pt>
                <c:pt idx="9">
                  <c:v>0.4</c:v>
                </c:pt>
                <c:pt idx="10">
                  <c:v>0.6</c:v>
                </c:pt>
                <c:pt idx="11">
                  <c:v>0.5</c:v>
                </c:pt>
                <c:pt idx="12">
                  <c:v>0.6</c:v>
                </c:pt>
                <c:pt idx="13">
                  <c:v>0.5</c:v>
                </c:pt>
                <c:pt idx="14">
                  <c:v>0.6</c:v>
                </c:pt>
                <c:pt idx="15">
                  <c:v>0.75</c:v>
                </c:pt>
              </c:numCache>
            </c:numRef>
          </c:val>
          <c:smooth val="0"/>
          <c:extLst>
            <c:ext xmlns:c16="http://schemas.microsoft.com/office/drawing/2014/chart" uri="{C3380CC4-5D6E-409C-BE32-E72D297353CC}">
              <c16:uniqueId val="{00000000-0F72-EA4B-B45D-7B604AB9CD55}"/>
            </c:ext>
          </c:extLst>
        </c:ser>
        <c:ser>
          <c:idx val="2"/>
          <c:order val="1"/>
          <c:tx>
            <c:v>Risposte Gemini</c:v>
          </c:tx>
          <c:spPr>
            <a:ln w="28575" cap="rnd">
              <a:solidFill>
                <a:schemeClr val="accent6"/>
              </a:solidFill>
              <a:round/>
            </a:ln>
            <a:effectLst/>
          </c:spPr>
          <c:marker>
            <c:symbol val="none"/>
          </c:marker>
          <c:val>
            <c:numRef>
              <c:f>'first_round_of_test (Sara)'!$K$19:$K$34</c:f>
              <c:numCache>
                <c:formatCode>General</c:formatCode>
                <c:ptCount val="7"/>
                <c:pt idx="0">
                  <c:v>0.5</c:v>
                </c:pt>
                <c:pt idx="1">
                  <c:v>0.5</c:v>
                </c:pt>
                <c:pt idx="2">
                  <c:v>0.5</c:v>
                </c:pt>
                <c:pt idx="3">
                  <c:v>0.5</c:v>
                </c:pt>
                <c:pt idx="4">
                  <c:v>0.5</c:v>
                </c:pt>
                <c:pt idx="5">
                  <c:v>0.8</c:v>
                </c:pt>
                <c:pt idx="6">
                  <c:v>0.5</c:v>
                </c:pt>
              </c:numCache>
            </c:numRef>
          </c:val>
          <c:smooth val="0"/>
          <c:extLst>
            <c:ext xmlns:c16="http://schemas.microsoft.com/office/drawing/2014/chart" uri="{C3380CC4-5D6E-409C-BE32-E72D297353CC}">
              <c16:uniqueId val="{00000001-0F72-EA4B-B45D-7B604AB9CD55}"/>
            </c:ext>
          </c:extLst>
        </c:ser>
        <c:dLbls>
          <c:showLegendKey val="0"/>
          <c:showVal val="0"/>
          <c:showCatName val="0"/>
          <c:showSerName val="0"/>
          <c:showPercent val="0"/>
          <c:showBubbleSize val="0"/>
        </c:dLbls>
        <c:smooth val="0"/>
        <c:axId val="1570901503"/>
        <c:axId val="1570911807"/>
      </c:lineChart>
      <c:catAx>
        <c:axId val="157090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11807"/>
        <c:crosses val="autoZero"/>
        <c:auto val="1"/>
        <c:lblAlgn val="ctr"/>
        <c:lblOffset val="100"/>
        <c:noMultiLvlLbl val="0"/>
      </c:catAx>
      <c:valAx>
        <c:axId val="1570911807"/>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01503"/>
        <c:crosses val="autoZero"/>
        <c:crossBetween val="between"/>
        <c:majorUnit val="0.2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IT"/>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Utente 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T"/>
        </a:p>
      </c:txPr>
    </c:title>
    <c:autoTitleDeleted val="0"/>
    <c:plotArea>
      <c:layout/>
      <c:lineChart>
        <c:grouping val="standard"/>
        <c:varyColors val="0"/>
        <c:ser>
          <c:idx val="0"/>
          <c:order val="0"/>
          <c:spPr>
            <a:ln w="28575" cap="rnd">
              <a:solidFill>
                <a:schemeClr val="accent1"/>
              </a:solidFill>
              <a:round/>
            </a:ln>
            <a:effectLst/>
          </c:spPr>
          <c:marker>
            <c:symbol val="none"/>
          </c:marker>
          <c:val>
            <c:numRef>
              <c:f>'first_round_of_test (soglie)'!$K$35:$K$50</c:f>
              <c:numCache>
                <c:formatCode>General</c:formatCode>
                <c:ptCount val="16"/>
                <c:pt idx="0">
                  <c:v>0.5</c:v>
                </c:pt>
                <c:pt idx="1">
                  <c:v>0.8</c:v>
                </c:pt>
                <c:pt idx="2">
                  <c:v>0.5</c:v>
                </c:pt>
                <c:pt idx="3">
                  <c:v>0.6</c:v>
                </c:pt>
                <c:pt idx="4">
                  <c:v>0.5</c:v>
                </c:pt>
                <c:pt idx="5">
                  <c:v>0.8</c:v>
                </c:pt>
                <c:pt idx="6">
                  <c:v>0.5</c:v>
                </c:pt>
                <c:pt idx="7">
                  <c:v>1</c:v>
                </c:pt>
                <c:pt idx="8">
                  <c:v>0.5</c:v>
                </c:pt>
                <c:pt idx="9">
                  <c:v>0.6</c:v>
                </c:pt>
                <c:pt idx="10">
                  <c:v>0.6</c:v>
                </c:pt>
                <c:pt idx="11">
                  <c:v>0.5</c:v>
                </c:pt>
                <c:pt idx="12">
                  <c:v>0.6</c:v>
                </c:pt>
                <c:pt idx="13">
                  <c:v>0.5</c:v>
                </c:pt>
                <c:pt idx="14">
                  <c:v>0.6</c:v>
                </c:pt>
                <c:pt idx="15">
                  <c:v>0.5</c:v>
                </c:pt>
              </c:numCache>
            </c:numRef>
          </c:val>
          <c:smooth val="0"/>
          <c:extLst>
            <c:ext xmlns:c16="http://schemas.microsoft.com/office/drawing/2014/chart" uri="{C3380CC4-5D6E-409C-BE32-E72D297353CC}">
              <c16:uniqueId val="{00000000-93D3-5A4A-BBCA-722983095C13}"/>
            </c:ext>
          </c:extLst>
        </c:ser>
        <c:ser>
          <c:idx val="1"/>
          <c:order val="1"/>
          <c:tx>
            <c:v>Soglia Randomness</c:v>
          </c:tx>
          <c:spPr>
            <a:ln w="28575" cap="rnd">
              <a:solidFill>
                <a:schemeClr val="accent2"/>
              </a:solidFill>
              <a:round/>
            </a:ln>
            <a:effectLst/>
          </c:spPr>
          <c:marker>
            <c:symbol val="none"/>
          </c:marker>
          <c:val>
            <c:numRef>
              <c:f>'first_round_of_test (soglie)'!$X$3:$X$18</c:f>
              <c:numCache>
                <c:formatCode>General</c:formatCode>
                <c:ptCount val="16"/>
                <c:pt idx="0">
                  <c:v>0.5</c:v>
                </c:pt>
                <c:pt idx="1">
                  <c:v>0.5</c:v>
                </c:pt>
                <c:pt idx="2">
                  <c:v>0.5</c:v>
                </c:pt>
                <c:pt idx="3">
                  <c:v>0.5</c:v>
                </c:pt>
                <c:pt idx="4">
                  <c:v>0.5</c:v>
                </c:pt>
                <c:pt idx="5">
                  <c:v>0.5</c:v>
                </c:pt>
                <c:pt idx="6">
                  <c:v>0.5</c:v>
                </c:pt>
                <c:pt idx="7">
                  <c:v>0.5</c:v>
                </c:pt>
                <c:pt idx="8">
                  <c:v>0.5</c:v>
                </c:pt>
                <c:pt idx="9">
                  <c:v>0.5</c:v>
                </c:pt>
                <c:pt idx="10">
                  <c:v>0.5</c:v>
                </c:pt>
                <c:pt idx="11">
                  <c:v>0.5</c:v>
                </c:pt>
                <c:pt idx="12">
                  <c:v>0.5</c:v>
                </c:pt>
                <c:pt idx="13">
                  <c:v>0.5</c:v>
                </c:pt>
                <c:pt idx="14">
                  <c:v>0.5</c:v>
                </c:pt>
                <c:pt idx="15">
                  <c:v>0.5</c:v>
                </c:pt>
              </c:numCache>
            </c:numRef>
          </c:val>
          <c:smooth val="0"/>
          <c:extLst>
            <c:ext xmlns:c16="http://schemas.microsoft.com/office/drawing/2014/chart" uri="{C3380CC4-5D6E-409C-BE32-E72D297353CC}">
              <c16:uniqueId val="{00000001-93D3-5A4A-BBCA-722983095C13}"/>
            </c:ext>
          </c:extLst>
        </c:ser>
        <c:dLbls>
          <c:showLegendKey val="0"/>
          <c:showVal val="0"/>
          <c:showCatName val="0"/>
          <c:showSerName val="0"/>
          <c:showPercent val="0"/>
          <c:showBubbleSize val="0"/>
        </c:dLbls>
        <c:smooth val="0"/>
        <c:axId val="1570901503"/>
        <c:axId val="1570911807"/>
      </c:lineChart>
      <c:catAx>
        <c:axId val="157090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11807"/>
        <c:crosses val="autoZero"/>
        <c:auto val="1"/>
        <c:lblAlgn val="ctr"/>
        <c:lblOffset val="100"/>
        <c:noMultiLvlLbl val="0"/>
      </c:catAx>
      <c:valAx>
        <c:axId val="1570911807"/>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01503"/>
        <c:crosses val="autoZero"/>
        <c:crossBetween val="between"/>
        <c:majorUnit val="0.2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IT"/>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Utente 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T"/>
        </a:p>
      </c:txPr>
    </c:title>
    <c:autoTitleDeleted val="0"/>
    <c:plotArea>
      <c:layout/>
      <c:lineChart>
        <c:grouping val="standard"/>
        <c:varyColors val="0"/>
        <c:ser>
          <c:idx val="0"/>
          <c:order val="0"/>
          <c:tx>
            <c:v>Analisi Statistica</c:v>
          </c:tx>
          <c:spPr>
            <a:ln w="28575" cap="rnd">
              <a:solidFill>
                <a:schemeClr val="accent2"/>
              </a:solidFill>
              <a:round/>
            </a:ln>
            <a:effectLst/>
          </c:spPr>
          <c:marker>
            <c:symbol val="none"/>
          </c:marker>
          <c:val>
            <c:numRef>
              <c:f>'first_round_of_test (soglie)'!$K$35:$K$50</c:f>
              <c:numCache>
                <c:formatCode>General</c:formatCode>
                <c:ptCount val="16"/>
                <c:pt idx="0">
                  <c:v>0.5</c:v>
                </c:pt>
                <c:pt idx="1">
                  <c:v>0.8</c:v>
                </c:pt>
                <c:pt idx="2">
                  <c:v>0.5</c:v>
                </c:pt>
                <c:pt idx="3">
                  <c:v>0.6</c:v>
                </c:pt>
                <c:pt idx="4">
                  <c:v>0.5</c:v>
                </c:pt>
                <c:pt idx="5">
                  <c:v>0.8</c:v>
                </c:pt>
                <c:pt idx="6">
                  <c:v>0.5</c:v>
                </c:pt>
                <c:pt idx="7">
                  <c:v>1</c:v>
                </c:pt>
                <c:pt idx="8">
                  <c:v>0.5</c:v>
                </c:pt>
                <c:pt idx="9">
                  <c:v>0.6</c:v>
                </c:pt>
                <c:pt idx="10">
                  <c:v>0.6</c:v>
                </c:pt>
                <c:pt idx="11">
                  <c:v>0.5</c:v>
                </c:pt>
                <c:pt idx="12">
                  <c:v>0.6</c:v>
                </c:pt>
                <c:pt idx="13">
                  <c:v>0.5</c:v>
                </c:pt>
                <c:pt idx="14">
                  <c:v>0.6</c:v>
                </c:pt>
                <c:pt idx="15">
                  <c:v>0.5</c:v>
                </c:pt>
              </c:numCache>
            </c:numRef>
          </c:val>
          <c:smooth val="0"/>
          <c:extLst>
            <c:ext xmlns:c16="http://schemas.microsoft.com/office/drawing/2014/chart" uri="{C3380CC4-5D6E-409C-BE32-E72D297353CC}">
              <c16:uniqueId val="{00000000-DE33-D04F-B265-688C62EE07B5}"/>
            </c:ext>
          </c:extLst>
        </c:ser>
        <c:ser>
          <c:idx val="2"/>
          <c:order val="1"/>
          <c:tx>
            <c:v>Risposte Gemini</c:v>
          </c:tx>
          <c:spPr>
            <a:ln w="28575" cap="rnd">
              <a:solidFill>
                <a:schemeClr val="accent6"/>
              </a:solidFill>
              <a:round/>
            </a:ln>
            <a:effectLst/>
          </c:spPr>
          <c:marker>
            <c:symbol val="none"/>
          </c:marker>
          <c:val>
            <c:numRef>
              <c:f>'first_round_of_test (Sara)'!$K$35:$K$50</c:f>
              <c:numCache>
                <c:formatCode>General</c:formatCode>
                <c:ptCount val="7"/>
                <c:pt idx="0">
                  <c:v>0.5</c:v>
                </c:pt>
                <c:pt idx="1">
                  <c:v>0.5</c:v>
                </c:pt>
                <c:pt idx="2">
                  <c:v>0.5</c:v>
                </c:pt>
                <c:pt idx="3">
                  <c:v>0.5</c:v>
                </c:pt>
                <c:pt idx="4">
                  <c:v>0.5</c:v>
                </c:pt>
                <c:pt idx="5">
                  <c:v>0.8</c:v>
                </c:pt>
                <c:pt idx="6">
                  <c:v>0.5</c:v>
                </c:pt>
              </c:numCache>
            </c:numRef>
          </c:val>
          <c:smooth val="0"/>
          <c:extLst>
            <c:ext xmlns:c16="http://schemas.microsoft.com/office/drawing/2014/chart" uri="{C3380CC4-5D6E-409C-BE32-E72D297353CC}">
              <c16:uniqueId val="{00000001-DE33-D04F-B265-688C62EE07B5}"/>
            </c:ext>
          </c:extLst>
        </c:ser>
        <c:dLbls>
          <c:showLegendKey val="0"/>
          <c:showVal val="0"/>
          <c:showCatName val="0"/>
          <c:showSerName val="0"/>
          <c:showPercent val="0"/>
          <c:showBubbleSize val="0"/>
        </c:dLbls>
        <c:smooth val="0"/>
        <c:axId val="1570901503"/>
        <c:axId val="1570911807"/>
      </c:lineChart>
      <c:catAx>
        <c:axId val="157090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11807"/>
        <c:crosses val="autoZero"/>
        <c:auto val="1"/>
        <c:lblAlgn val="ctr"/>
        <c:lblOffset val="100"/>
        <c:noMultiLvlLbl val="0"/>
      </c:catAx>
      <c:valAx>
        <c:axId val="1570911807"/>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01503"/>
        <c:crosses val="autoZero"/>
        <c:crossBetween val="between"/>
        <c:majorUnit val="0.2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IT"/>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Mean_score</a:t>
            </a:r>
            <a:r>
              <a:rPr lang="en-GB" baseline="0"/>
              <a:t> for experiment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lineChart>
        <c:grouping val="standard"/>
        <c:varyColors val="0"/>
        <c:ser>
          <c:idx val="0"/>
          <c:order val="0"/>
          <c:tx>
            <c:v>Analisi Statistica</c:v>
          </c:tx>
          <c:spPr>
            <a:ln w="28575" cap="rnd">
              <a:solidFill>
                <a:schemeClr val="accent2"/>
              </a:solidFill>
              <a:round/>
            </a:ln>
            <a:effectLst/>
          </c:spPr>
          <c:marker>
            <c:symbol val="none"/>
          </c:marker>
          <c:cat>
            <c:numRef>
              <c:f>'first_round_of_test (soglie)'!$AG$3:$AG$12</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'first_round_of_test (soglie)'!$AH$3:$AH$12</c:f>
              <c:numCache>
                <c:formatCode>0.00</c:formatCode>
                <c:ptCount val="10"/>
                <c:pt idx="0">
                  <c:v>0.59062499999999996</c:v>
                </c:pt>
                <c:pt idx="1">
                  <c:v>0.60312500000000002</c:v>
                </c:pt>
                <c:pt idx="2">
                  <c:v>0.6</c:v>
                </c:pt>
                <c:pt idx="3">
                  <c:v>0.80937500000000007</c:v>
                </c:pt>
                <c:pt idx="4">
                  <c:v>0.79375000000000007</c:v>
                </c:pt>
                <c:pt idx="5">
                  <c:v>0.796875</c:v>
                </c:pt>
                <c:pt idx="6">
                  <c:v>0.68750000000000011</c:v>
                </c:pt>
                <c:pt idx="7">
                  <c:v>0.73750000000000004</c:v>
                </c:pt>
                <c:pt idx="8">
                  <c:v>0.90624999999999989</c:v>
                </c:pt>
                <c:pt idx="9">
                  <c:v>0.61562499999999998</c:v>
                </c:pt>
              </c:numCache>
            </c:numRef>
          </c:val>
          <c:smooth val="0"/>
          <c:extLst>
            <c:ext xmlns:c16="http://schemas.microsoft.com/office/drawing/2014/chart" uri="{C3380CC4-5D6E-409C-BE32-E72D297353CC}">
              <c16:uniqueId val="{00000000-C4CE-8147-90D3-F097F6241B06}"/>
            </c:ext>
          </c:extLst>
        </c:ser>
        <c:ser>
          <c:idx val="1"/>
          <c:order val="1"/>
          <c:tx>
            <c:v>Risposte Gemini</c:v>
          </c:tx>
          <c:spPr>
            <a:ln w="28575" cap="rnd">
              <a:solidFill>
                <a:schemeClr val="accent4"/>
              </a:solidFill>
              <a:round/>
            </a:ln>
            <a:effectLst/>
          </c:spPr>
          <c:marker>
            <c:symbol val="none"/>
          </c:marker>
          <c:val>
            <c:numRef>
              <c:f>'first_round_of_test (Sara)'!$AH$3:$AH$12</c:f>
            </c:numRef>
          </c:val>
          <c:smooth val="0"/>
          <c:extLst>
            <c:ext xmlns:c16="http://schemas.microsoft.com/office/drawing/2014/chart" uri="{C3380CC4-5D6E-409C-BE32-E72D297353CC}">
              <c16:uniqueId val="{00000001-C4CE-8147-90D3-F097F6241B06}"/>
            </c:ext>
          </c:extLst>
        </c:ser>
        <c:dLbls>
          <c:showLegendKey val="0"/>
          <c:showVal val="0"/>
          <c:showCatName val="0"/>
          <c:showSerName val="0"/>
          <c:showPercent val="0"/>
          <c:showBubbleSize val="0"/>
        </c:dLbls>
        <c:smooth val="0"/>
        <c:axId val="1570901503"/>
        <c:axId val="1570911807"/>
      </c:lineChart>
      <c:catAx>
        <c:axId val="157090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11807"/>
        <c:crosses val="autoZero"/>
        <c:auto val="1"/>
        <c:lblAlgn val="ctr"/>
        <c:lblOffset val="100"/>
        <c:noMultiLvlLbl val="0"/>
      </c:catAx>
      <c:valAx>
        <c:axId val="1570911807"/>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01503"/>
        <c:crosses val="autoZero"/>
        <c:crossBetween val="between"/>
        <c:majorUnit val="0.2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IT"/>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Mean_score for with step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T"/>
        </a:p>
      </c:txPr>
    </c:title>
    <c:autoTitleDeleted val="0"/>
    <c:plotArea>
      <c:layout/>
      <c:barChart>
        <c:barDir val="col"/>
        <c:grouping val="clustered"/>
        <c:varyColors val="0"/>
        <c:ser>
          <c:idx val="0"/>
          <c:order val="0"/>
          <c:tx>
            <c:v>withdrawal step</c:v>
          </c:tx>
          <c:spPr>
            <a:solidFill>
              <a:schemeClr val="accent2"/>
            </a:solidFill>
            <a:ln>
              <a:noFill/>
            </a:ln>
            <a:effectLst/>
          </c:spPr>
          <c:invertIfNegative val="0"/>
          <c:cat>
            <c:numRef>
              <c:f>'first_round_of_test (soglie)'!$AJ$3:$AJ$8</c:f>
              <c:numCache>
                <c:formatCode>General</c:formatCode>
                <c:ptCount val="6"/>
                <c:pt idx="0">
                  <c:v>1</c:v>
                </c:pt>
                <c:pt idx="1">
                  <c:v>3</c:v>
                </c:pt>
                <c:pt idx="2">
                  <c:v>5</c:v>
                </c:pt>
                <c:pt idx="3">
                  <c:v>7</c:v>
                </c:pt>
                <c:pt idx="4">
                  <c:v>9</c:v>
                </c:pt>
                <c:pt idx="5">
                  <c:v>12</c:v>
                </c:pt>
              </c:numCache>
            </c:numRef>
          </c:cat>
          <c:val>
            <c:numRef>
              <c:f>'first_round_of_test (soglie)'!$AK$3:$AK$8</c:f>
              <c:numCache>
                <c:formatCode>General</c:formatCode>
                <c:ptCount val="6"/>
                <c:pt idx="0">
                  <c:v>0.9</c:v>
                </c:pt>
                <c:pt idx="1">
                  <c:v>0.75</c:v>
                </c:pt>
                <c:pt idx="2">
                  <c:v>0.65</c:v>
                </c:pt>
                <c:pt idx="3">
                  <c:v>0.75</c:v>
                </c:pt>
                <c:pt idx="4">
                  <c:v>0.65</c:v>
                </c:pt>
                <c:pt idx="5">
                  <c:v>0.75</c:v>
                </c:pt>
              </c:numCache>
            </c:numRef>
          </c:val>
          <c:extLst>
            <c:ext xmlns:c16="http://schemas.microsoft.com/office/drawing/2014/chart" uri="{C3380CC4-5D6E-409C-BE32-E72D297353CC}">
              <c16:uniqueId val="{00000000-1EC1-9942-B0E1-A89626311717}"/>
            </c:ext>
          </c:extLst>
        </c:ser>
        <c:dLbls>
          <c:showLegendKey val="0"/>
          <c:showVal val="0"/>
          <c:showCatName val="0"/>
          <c:showSerName val="0"/>
          <c:showPercent val="0"/>
          <c:showBubbleSize val="0"/>
        </c:dLbls>
        <c:gapWidth val="150"/>
        <c:axId val="1570901503"/>
        <c:axId val="1570911807"/>
      </c:barChart>
      <c:catAx>
        <c:axId val="157090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11807"/>
        <c:crosses val="autoZero"/>
        <c:auto val="1"/>
        <c:lblAlgn val="ctr"/>
        <c:lblOffset val="100"/>
        <c:noMultiLvlLbl val="0"/>
      </c:catAx>
      <c:valAx>
        <c:axId val="1570911807"/>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01503"/>
        <c:crosses val="autoZero"/>
        <c:crossBetween val="between"/>
        <c:majorUnit val="0.2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IT"/>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Mean_score for</a:t>
            </a:r>
            <a:r>
              <a:rPr lang="en-GB" baseline="0"/>
              <a:t> </a:t>
            </a:r>
            <a:r>
              <a:rPr lang="en-GB"/>
              <a:t> assembly step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T"/>
        </a:p>
      </c:txPr>
    </c:title>
    <c:autoTitleDeleted val="0"/>
    <c:plotArea>
      <c:layout/>
      <c:barChart>
        <c:barDir val="col"/>
        <c:grouping val="clustered"/>
        <c:varyColors val="0"/>
        <c:ser>
          <c:idx val="0"/>
          <c:order val="0"/>
          <c:tx>
            <c:v>assembly step</c:v>
          </c:tx>
          <c:spPr>
            <a:solidFill>
              <a:schemeClr val="accent2"/>
            </a:solidFill>
            <a:ln>
              <a:noFill/>
            </a:ln>
            <a:effectLst/>
          </c:spPr>
          <c:invertIfNegative val="0"/>
          <c:cat>
            <c:numRef>
              <c:f>'first_round_of_test (soglie)'!$AM$3:$AM$11</c:f>
              <c:numCache>
                <c:formatCode>General</c:formatCode>
                <c:ptCount val="9"/>
                <c:pt idx="0">
                  <c:v>2</c:v>
                </c:pt>
                <c:pt idx="1">
                  <c:v>4</c:v>
                </c:pt>
                <c:pt idx="2">
                  <c:v>6</c:v>
                </c:pt>
                <c:pt idx="3">
                  <c:v>8</c:v>
                </c:pt>
                <c:pt idx="4">
                  <c:v>10</c:v>
                </c:pt>
                <c:pt idx="5">
                  <c:v>11</c:v>
                </c:pt>
                <c:pt idx="6">
                  <c:v>13</c:v>
                </c:pt>
                <c:pt idx="8">
                  <c:v>15</c:v>
                </c:pt>
              </c:numCache>
            </c:numRef>
          </c:cat>
          <c:val>
            <c:numRef>
              <c:f>'first_round_of_test (soglie)'!$AN$3:$AN$11</c:f>
              <c:numCache>
                <c:formatCode>General</c:formatCode>
                <c:ptCount val="9"/>
                <c:pt idx="0">
                  <c:v>0.65999999999999992</c:v>
                </c:pt>
                <c:pt idx="1">
                  <c:v>0.61999999999999988</c:v>
                </c:pt>
                <c:pt idx="2">
                  <c:v>0.88000000000000012</c:v>
                </c:pt>
                <c:pt idx="3">
                  <c:v>0.82</c:v>
                </c:pt>
                <c:pt idx="4">
                  <c:v>0.74</c:v>
                </c:pt>
                <c:pt idx="5">
                  <c:v>0.53999999999999992</c:v>
                </c:pt>
                <c:pt idx="6">
                  <c:v>0.72</c:v>
                </c:pt>
                <c:pt idx="8">
                  <c:v>0.72</c:v>
                </c:pt>
              </c:numCache>
            </c:numRef>
          </c:val>
          <c:extLst>
            <c:ext xmlns:c16="http://schemas.microsoft.com/office/drawing/2014/chart" uri="{C3380CC4-5D6E-409C-BE32-E72D297353CC}">
              <c16:uniqueId val="{00000000-8FDA-8D4F-A4DB-11398B540B15}"/>
            </c:ext>
          </c:extLst>
        </c:ser>
        <c:dLbls>
          <c:showLegendKey val="0"/>
          <c:showVal val="0"/>
          <c:showCatName val="0"/>
          <c:showSerName val="0"/>
          <c:showPercent val="0"/>
          <c:showBubbleSize val="0"/>
        </c:dLbls>
        <c:gapWidth val="150"/>
        <c:axId val="1570901503"/>
        <c:axId val="1570911807"/>
      </c:barChart>
      <c:catAx>
        <c:axId val="157090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11807"/>
        <c:crosses val="autoZero"/>
        <c:auto val="1"/>
        <c:lblAlgn val="ctr"/>
        <c:lblOffset val="100"/>
        <c:noMultiLvlLbl val="0"/>
      </c:catAx>
      <c:valAx>
        <c:axId val="1570911807"/>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01503"/>
        <c:crosses val="autoZero"/>
        <c:crossBetween val="between"/>
        <c:majorUnit val="0.2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IT"/>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Utente 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T"/>
        </a:p>
      </c:txPr>
    </c:title>
    <c:autoTitleDeleted val="0"/>
    <c:plotArea>
      <c:layout/>
      <c:lineChart>
        <c:grouping val="standard"/>
        <c:varyColors val="0"/>
        <c:ser>
          <c:idx val="0"/>
          <c:order val="0"/>
          <c:spPr>
            <a:ln w="28575" cap="rnd">
              <a:solidFill>
                <a:schemeClr val="accent1"/>
              </a:solidFill>
              <a:round/>
            </a:ln>
            <a:effectLst/>
          </c:spPr>
          <c:marker>
            <c:symbol val="none"/>
          </c:marker>
          <c:val>
            <c:numRef>
              <c:f>'first_round_of_test (soglie)'!$K$51:$K$66</c:f>
              <c:numCache>
                <c:formatCode>General</c:formatCode>
                <c:ptCount val="16"/>
                <c:pt idx="0">
                  <c:v>1</c:v>
                </c:pt>
                <c:pt idx="1">
                  <c:v>0.4</c:v>
                </c:pt>
                <c:pt idx="2">
                  <c:v>1</c:v>
                </c:pt>
                <c:pt idx="3">
                  <c:v>0.4</c:v>
                </c:pt>
                <c:pt idx="4">
                  <c:v>1</c:v>
                </c:pt>
                <c:pt idx="5">
                  <c:v>1</c:v>
                </c:pt>
                <c:pt idx="6">
                  <c:v>1</c:v>
                </c:pt>
                <c:pt idx="7">
                  <c:v>0.8</c:v>
                </c:pt>
                <c:pt idx="8">
                  <c:v>1</c:v>
                </c:pt>
                <c:pt idx="9">
                  <c:v>0.8</c:v>
                </c:pt>
                <c:pt idx="10">
                  <c:v>0.4</c:v>
                </c:pt>
                <c:pt idx="11">
                  <c:v>1</c:v>
                </c:pt>
                <c:pt idx="12">
                  <c:v>0.6</c:v>
                </c:pt>
                <c:pt idx="13">
                  <c:v>1</c:v>
                </c:pt>
                <c:pt idx="14">
                  <c:v>0.8</c:v>
                </c:pt>
                <c:pt idx="15">
                  <c:v>0.75</c:v>
                </c:pt>
              </c:numCache>
            </c:numRef>
          </c:val>
          <c:smooth val="0"/>
          <c:extLst>
            <c:ext xmlns:c16="http://schemas.microsoft.com/office/drawing/2014/chart" uri="{C3380CC4-5D6E-409C-BE32-E72D297353CC}">
              <c16:uniqueId val="{00000000-17CE-2641-AFEC-71F6C385FC5B}"/>
            </c:ext>
          </c:extLst>
        </c:ser>
        <c:ser>
          <c:idx val="1"/>
          <c:order val="1"/>
          <c:tx>
            <c:v>Soglia Randomness</c:v>
          </c:tx>
          <c:spPr>
            <a:ln w="28575" cap="rnd">
              <a:solidFill>
                <a:schemeClr val="accent2"/>
              </a:solidFill>
              <a:round/>
            </a:ln>
            <a:effectLst/>
          </c:spPr>
          <c:marker>
            <c:symbol val="none"/>
          </c:marker>
          <c:val>
            <c:numRef>
              <c:f>'first_round_of_test (soglie)'!$X$3:$X$18</c:f>
              <c:numCache>
                <c:formatCode>General</c:formatCode>
                <c:ptCount val="16"/>
                <c:pt idx="0">
                  <c:v>0.5</c:v>
                </c:pt>
                <c:pt idx="1">
                  <c:v>0.5</c:v>
                </c:pt>
                <c:pt idx="2">
                  <c:v>0.5</c:v>
                </c:pt>
                <c:pt idx="3">
                  <c:v>0.5</c:v>
                </c:pt>
                <c:pt idx="4">
                  <c:v>0.5</c:v>
                </c:pt>
                <c:pt idx="5">
                  <c:v>0.5</c:v>
                </c:pt>
                <c:pt idx="6">
                  <c:v>0.5</c:v>
                </c:pt>
                <c:pt idx="7">
                  <c:v>0.5</c:v>
                </c:pt>
                <c:pt idx="8">
                  <c:v>0.5</c:v>
                </c:pt>
                <c:pt idx="9">
                  <c:v>0.5</c:v>
                </c:pt>
                <c:pt idx="10">
                  <c:v>0.5</c:v>
                </c:pt>
                <c:pt idx="11">
                  <c:v>0.5</c:v>
                </c:pt>
                <c:pt idx="12">
                  <c:v>0.5</c:v>
                </c:pt>
                <c:pt idx="13">
                  <c:v>0.5</c:v>
                </c:pt>
                <c:pt idx="14">
                  <c:v>0.5</c:v>
                </c:pt>
                <c:pt idx="15">
                  <c:v>0.5</c:v>
                </c:pt>
              </c:numCache>
            </c:numRef>
          </c:val>
          <c:smooth val="0"/>
          <c:extLst>
            <c:ext xmlns:c16="http://schemas.microsoft.com/office/drawing/2014/chart" uri="{C3380CC4-5D6E-409C-BE32-E72D297353CC}">
              <c16:uniqueId val="{00000001-17CE-2641-AFEC-71F6C385FC5B}"/>
            </c:ext>
          </c:extLst>
        </c:ser>
        <c:dLbls>
          <c:showLegendKey val="0"/>
          <c:showVal val="0"/>
          <c:showCatName val="0"/>
          <c:showSerName val="0"/>
          <c:showPercent val="0"/>
          <c:showBubbleSize val="0"/>
        </c:dLbls>
        <c:smooth val="0"/>
        <c:axId val="1570901503"/>
        <c:axId val="1570911807"/>
      </c:lineChart>
      <c:catAx>
        <c:axId val="157090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11807"/>
        <c:crosses val="autoZero"/>
        <c:auto val="1"/>
        <c:lblAlgn val="ctr"/>
        <c:lblOffset val="100"/>
        <c:noMultiLvlLbl val="0"/>
      </c:catAx>
      <c:valAx>
        <c:axId val="1570911807"/>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01503"/>
        <c:crosses val="autoZero"/>
        <c:crossBetween val="between"/>
        <c:majorUnit val="0.2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IT"/>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Utente 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T"/>
        </a:p>
      </c:txPr>
    </c:title>
    <c:autoTitleDeleted val="0"/>
    <c:plotArea>
      <c:layout/>
      <c:lineChart>
        <c:grouping val="standard"/>
        <c:varyColors val="0"/>
        <c:ser>
          <c:idx val="0"/>
          <c:order val="0"/>
          <c:spPr>
            <a:ln w="28575" cap="rnd">
              <a:solidFill>
                <a:schemeClr val="accent1"/>
              </a:solidFill>
              <a:round/>
            </a:ln>
            <a:effectLst/>
          </c:spPr>
          <c:marker>
            <c:symbol val="none"/>
          </c:marker>
          <c:val>
            <c:numRef>
              <c:f>'first_round_of_test (soglie)'!$K$67:$K$82</c:f>
              <c:numCache>
                <c:formatCode>General</c:formatCode>
                <c:ptCount val="16"/>
                <c:pt idx="0">
                  <c:v>1</c:v>
                </c:pt>
                <c:pt idx="1">
                  <c:v>0.4</c:v>
                </c:pt>
                <c:pt idx="2">
                  <c:v>1</c:v>
                </c:pt>
                <c:pt idx="3">
                  <c:v>0.6</c:v>
                </c:pt>
                <c:pt idx="4">
                  <c:v>1</c:v>
                </c:pt>
                <c:pt idx="5">
                  <c:v>1</c:v>
                </c:pt>
                <c:pt idx="6">
                  <c:v>1</c:v>
                </c:pt>
                <c:pt idx="7">
                  <c:v>0.8</c:v>
                </c:pt>
                <c:pt idx="8">
                  <c:v>1</c:v>
                </c:pt>
                <c:pt idx="9">
                  <c:v>0.8</c:v>
                </c:pt>
                <c:pt idx="10">
                  <c:v>0.4</c:v>
                </c:pt>
                <c:pt idx="11">
                  <c:v>1</c:v>
                </c:pt>
                <c:pt idx="12">
                  <c:v>0.4</c:v>
                </c:pt>
                <c:pt idx="13">
                  <c:v>0.5</c:v>
                </c:pt>
                <c:pt idx="14">
                  <c:v>0.8</c:v>
                </c:pt>
                <c:pt idx="15">
                  <c:v>1</c:v>
                </c:pt>
              </c:numCache>
            </c:numRef>
          </c:val>
          <c:smooth val="0"/>
          <c:extLst>
            <c:ext xmlns:c16="http://schemas.microsoft.com/office/drawing/2014/chart" uri="{C3380CC4-5D6E-409C-BE32-E72D297353CC}">
              <c16:uniqueId val="{00000000-5D96-D748-B19D-8EEAA3D35D24}"/>
            </c:ext>
          </c:extLst>
        </c:ser>
        <c:ser>
          <c:idx val="1"/>
          <c:order val="1"/>
          <c:tx>
            <c:v>Soglia Randomness</c:v>
          </c:tx>
          <c:spPr>
            <a:ln w="28575" cap="rnd">
              <a:solidFill>
                <a:schemeClr val="accent2"/>
              </a:solidFill>
              <a:round/>
            </a:ln>
            <a:effectLst/>
          </c:spPr>
          <c:marker>
            <c:symbol val="none"/>
          </c:marker>
          <c:val>
            <c:numRef>
              <c:f>'first_round_of_test (soglie)'!$X$3:$X$18</c:f>
              <c:numCache>
                <c:formatCode>General</c:formatCode>
                <c:ptCount val="16"/>
                <c:pt idx="0">
                  <c:v>0.5</c:v>
                </c:pt>
                <c:pt idx="1">
                  <c:v>0.5</c:v>
                </c:pt>
                <c:pt idx="2">
                  <c:v>0.5</c:v>
                </c:pt>
                <c:pt idx="3">
                  <c:v>0.5</c:v>
                </c:pt>
                <c:pt idx="4">
                  <c:v>0.5</c:v>
                </c:pt>
                <c:pt idx="5">
                  <c:v>0.5</c:v>
                </c:pt>
                <c:pt idx="6">
                  <c:v>0.5</c:v>
                </c:pt>
                <c:pt idx="7">
                  <c:v>0.5</c:v>
                </c:pt>
                <c:pt idx="8">
                  <c:v>0.5</c:v>
                </c:pt>
                <c:pt idx="9">
                  <c:v>0.5</c:v>
                </c:pt>
                <c:pt idx="10">
                  <c:v>0.5</c:v>
                </c:pt>
                <c:pt idx="11">
                  <c:v>0.5</c:v>
                </c:pt>
                <c:pt idx="12">
                  <c:v>0.5</c:v>
                </c:pt>
                <c:pt idx="13">
                  <c:v>0.5</c:v>
                </c:pt>
                <c:pt idx="14">
                  <c:v>0.5</c:v>
                </c:pt>
                <c:pt idx="15">
                  <c:v>0.5</c:v>
                </c:pt>
              </c:numCache>
            </c:numRef>
          </c:val>
          <c:smooth val="0"/>
          <c:extLst>
            <c:ext xmlns:c16="http://schemas.microsoft.com/office/drawing/2014/chart" uri="{C3380CC4-5D6E-409C-BE32-E72D297353CC}">
              <c16:uniqueId val="{00000001-5D96-D748-B19D-8EEAA3D35D24}"/>
            </c:ext>
          </c:extLst>
        </c:ser>
        <c:dLbls>
          <c:showLegendKey val="0"/>
          <c:showVal val="0"/>
          <c:showCatName val="0"/>
          <c:showSerName val="0"/>
          <c:showPercent val="0"/>
          <c:showBubbleSize val="0"/>
        </c:dLbls>
        <c:smooth val="0"/>
        <c:axId val="1570901503"/>
        <c:axId val="1570911807"/>
      </c:lineChart>
      <c:catAx>
        <c:axId val="157090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11807"/>
        <c:crosses val="autoZero"/>
        <c:auto val="1"/>
        <c:lblAlgn val="ctr"/>
        <c:lblOffset val="100"/>
        <c:noMultiLvlLbl val="0"/>
      </c:catAx>
      <c:valAx>
        <c:axId val="1570911807"/>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01503"/>
        <c:crosses val="autoZero"/>
        <c:crossBetween val="between"/>
        <c:majorUnit val="0.2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IT"/>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Utente 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T"/>
        </a:p>
      </c:txPr>
    </c:title>
    <c:autoTitleDeleted val="0"/>
    <c:plotArea>
      <c:layout/>
      <c:lineChart>
        <c:grouping val="standard"/>
        <c:varyColors val="0"/>
        <c:ser>
          <c:idx val="0"/>
          <c:order val="0"/>
          <c:spPr>
            <a:ln w="28575" cap="rnd">
              <a:solidFill>
                <a:schemeClr val="accent1"/>
              </a:solidFill>
              <a:round/>
            </a:ln>
            <a:effectLst/>
          </c:spPr>
          <c:marker>
            <c:symbol val="none"/>
          </c:marker>
          <c:val>
            <c:numRef>
              <c:f>'first_round_of_test (soglie)'!$K$83:$K$98</c:f>
              <c:numCache>
                <c:formatCode>General</c:formatCode>
                <c:ptCount val="16"/>
                <c:pt idx="0">
                  <c:v>1</c:v>
                </c:pt>
                <c:pt idx="1">
                  <c:v>0.8</c:v>
                </c:pt>
                <c:pt idx="2">
                  <c:v>1</c:v>
                </c:pt>
                <c:pt idx="3">
                  <c:v>0.4</c:v>
                </c:pt>
                <c:pt idx="4">
                  <c:v>0.5</c:v>
                </c:pt>
                <c:pt idx="5">
                  <c:v>0.8</c:v>
                </c:pt>
                <c:pt idx="6">
                  <c:v>1</c:v>
                </c:pt>
                <c:pt idx="7">
                  <c:v>0.8</c:v>
                </c:pt>
                <c:pt idx="8">
                  <c:v>0.5</c:v>
                </c:pt>
                <c:pt idx="9">
                  <c:v>1</c:v>
                </c:pt>
                <c:pt idx="10">
                  <c:v>0.6</c:v>
                </c:pt>
                <c:pt idx="11">
                  <c:v>1</c:v>
                </c:pt>
                <c:pt idx="12">
                  <c:v>1</c:v>
                </c:pt>
                <c:pt idx="13">
                  <c:v>1</c:v>
                </c:pt>
                <c:pt idx="14">
                  <c:v>0.6</c:v>
                </c:pt>
                <c:pt idx="15">
                  <c:v>0.75</c:v>
                </c:pt>
              </c:numCache>
            </c:numRef>
          </c:val>
          <c:smooth val="0"/>
          <c:extLst>
            <c:ext xmlns:c16="http://schemas.microsoft.com/office/drawing/2014/chart" uri="{C3380CC4-5D6E-409C-BE32-E72D297353CC}">
              <c16:uniqueId val="{00000000-96C7-0C40-9709-4F6D906C6133}"/>
            </c:ext>
          </c:extLst>
        </c:ser>
        <c:ser>
          <c:idx val="1"/>
          <c:order val="1"/>
          <c:tx>
            <c:v>Soglia Randomness</c:v>
          </c:tx>
          <c:spPr>
            <a:ln w="28575" cap="rnd">
              <a:solidFill>
                <a:schemeClr val="accent2"/>
              </a:solidFill>
              <a:round/>
            </a:ln>
            <a:effectLst/>
          </c:spPr>
          <c:marker>
            <c:symbol val="none"/>
          </c:marker>
          <c:val>
            <c:numRef>
              <c:f>'first_round_of_test (soglie)'!$X$3:$X$18</c:f>
              <c:numCache>
                <c:formatCode>General</c:formatCode>
                <c:ptCount val="16"/>
                <c:pt idx="0">
                  <c:v>0.5</c:v>
                </c:pt>
                <c:pt idx="1">
                  <c:v>0.5</c:v>
                </c:pt>
                <c:pt idx="2">
                  <c:v>0.5</c:v>
                </c:pt>
                <c:pt idx="3">
                  <c:v>0.5</c:v>
                </c:pt>
                <c:pt idx="4">
                  <c:v>0.5</c:v>
                </c:pt>
                <c:pt idx="5">
                  <c:v>0.5</c:v>
                </c:pt>
                <c:pt idx="6">
                  <c:v>0.5</c:v>
                </c:pt>
                <c:pt idx="7">
                  <c:v>0.5</c:v>
                </c:pt>
                <c:pt idx="8">
                  <c:v>0.5</c:v>
                </c:pt>
                <c:pt idx="9">
                  <c:v>0.5</c:v>
                </c:pt>
                <c:pt idx="10">
                  <c:v>0.5</c:v>
                </c:pt>
                <c:pt idx="11">
                  <c:v>0.5</c:v>
                </c:pt>
                <c:pt idx="12">
                  <c:v>0.5</c:v>
                </c:pt>
                <c:pt idx="13">
                  <c:v>0.5</c:v>
                </c:pt>
                <c:pt idx="14">
                  <c:v>0.5</c:v>
                </c:pt>
                <c:pt idx="15">
                  <c:v>0.5</c:v>
                </c:pt>
              </c:numCache>
            </c:numRef>
          </c:val>
          <c:smooth val="0"/>
          <c:extLst>
            <c:ext xmlns:c16="http://schemas.microsoft.com/office/drawing/2014/chart" uri="{C3380CC4-5D6E-409C-BE32-E72D297353CC}">
              <c16:uniqueId val="{00000001-96C7-0C40-9709-4F6D906C6133}"/>
            </c:ext>
          </c:extLst>
        </c:ser>
        <c:dLbls>
          <c:showLegendKey val="0"/>
          <c:showVal val="0"/>
          <c:showCatName val="0"/>
          <c:showSerName val="0"/>
          <c:showPercent val="0"/>
          <c:showBubbleSize val="0"/>
        </c:dLbls>
        <c:smooth val="0"/>
        <c:axId val="1570901503"/>
        <c:axId val="1570911807"/>
      </c:lineChart>
      <c:catAx>
        <c:axId val="157090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11807"/>
        <c:crosses val="autoZero"/>
        <c:auto val="1"/>
        <c:lblAlgn val="ctr"/>
        <c:lblOffset val="100"/>
        <c:noMultiLvlLbl val="0"/>
      </c:catAx>
      <c:valAx>
        <c:axId val="1570911807"/>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01503"/>
        <c:crosses val="autoZero"/>
        <c:crossBetween val="between"/>
        <c:majorUnit val="0.2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IT"/>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Utente 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T"/>
        </a:p>
      </c:txPr>
    </c:title>
    <c:autoTitleDeleted val="0"/>
    <c:plotArea>
      <c:layout/>
      <c:lineChart>
        <c:grouping val="standard"/>
        <c:varyColors val="0"/>
        <c:ser>
          <c:idx val="0"/>
          <c:order val="0"/>
          <c:spPr>
            <a:ln w="28575" cap="rnd">
              <a:solidFill>
                <a:schemeClr val="accent1"/>
              </a:solidFill>
              <a:round/>
            </a:ln>
            <a:effectLst/>
          </c:spPr>
          <c:marker>
            <c:symbol val="none"/>
          </c:marker>
          <c:val>
            <c:numRef>
              <c:f>'first_round_of_test (soglie)'!$K$99:$K$114</c:f>
              <c:numCache>
                <c:formatCode>General</c:formatCode>
                <c:ptCount val="16"/>
                <c:pt idx="0">
                  <c:v>1</c:v>
                </c:pt>
                <c:pt idx="1">
                  <c:v>1</c:v>
                </c:pt>
                <c:pt idx="2">
                  <c:v>1</c:v>
                </c:pt>
                <c:pt idx="3">
                  <c:v>1</c:v>
                </c:pt>
                <c:pt idx="4">
                  <c:v>0.5</c:v>
                </c:pt>
                <c:pt idx="5">
                  <c:v>0.4</c:v>
                </c:pt>
                <c:pt idx="6">
                  <c:v>0.5</c:v>
                </c:pt>
                <c:pt idx="7">
                  <c:v>0.4</c:v>
                </c:pt>
                <c:pt idx="8">
                  <c:v>0.5</c:v>
                </c:pt>
                <c:pt idx="9">
                  <c:v>0.6</c:v>
                </c:pt>
                <c:pt idx="10">
                  <c:v>0.2</c:v>
                </c:pt>
                <c:pt idx="11">
                  <c:v>1</c:v>
                </c:pt>
                <c:pt idx="12">
                  <c:v>0.8</c:v>
                </c:pt>
                <c:pt idx="13">
                  <c:v>1</c:v>
                </c:pt>
                <c:pt idx="14">
                  <c:v>0.6</c:v>
                </c:pt>
                <c:pt idx="15">
                  <c:v>0.5</c:v>
                </c:pt>
              </c:numCache>
            </c:numRef>
          </c:val>
          <c:smooth val="0"/>
          <c:extLst>
            <c:ext xmlns:c16="http://schemas.microsoft.com/office/drawing/2014/chart" uri="{C3380CC4-5D6E-409C-BE32-E72D297353CC}">
              <c16:uniqueId val="{00000000-176F-0344-9AAA-601C4E733E0A}"/>
            </c:ext>
          </c:extLst>
        </c:ser>
        <c:ser>
          <c:idx val="1"/>
          <c:order val="1"/>
          <c:tx>
            <c:v>Soglia Randomness</c:v>
          </c:tx>
          <c:spPr>
            <a:ln w="28575" cap="rnd">
              <a:solidFill>
                <a:schemeClr val="accent2"/>
              </a:solidFill>
              <a:round/>
            </a:ln>
            <a:effectLst/>
          </c:spPr>
          <c:marker>
            <c:symbol val="none"/>
          </c:marker>
          <c:val>
            <c:numRef>
              <c:f>'first_round_of_test (soglie)'!$X$3:$X$18</c:f>
              <c:numCache>
                <c:formatCode>General</c:formatCode>
                <c:ptCount val="16"/>
                <c:pt idx="0">
                  <c:v>0.5</c:v>
                </c:pt>
                <c:pt idx="1">
                  <c:v>0.5</c:v>
                </c:pt>
                <c:pt idx="2">
                  <c:v>0.5</c:v>
                </c:pt>
                <c:pt idx="3">
                  <c:v>0.5</c:v>
                </c:pt>
                <c:pt idx="4">
                  <c:v>0.5</c:v>
                </c:pt>
                <c:pt idx="5">
                  <c:v>0.5</c:v>
                </c:pt>
                <c:pt idx="6">
                  <c:v>0.5</c:v>
                </c:pt>
                <c:pt idx="7">
                  <c:v>0.5</c:v>
                </c:pt>
                <c:pt idx="8">
                  <c:v>0.5</c:v>
                </c:pt>
                <c:pt idx="9">
                  <c:v>0.5</c:v>
                </c:pt>
                <c:pt idx="10">
                  <c:v>0.5</c:v>
                </c:pt>
                <c:pt idx="11">
                  <c:v>0.5</c:v>
                </c:pt>
                <c:pt idx="12">
                  <c:v>0.5</c:v>
                </c:pt>
                <c:pt idx="13">
                  <c:v>0.5</c:v>
                </c:pt>
                <c:pt idx="14">
                  <c:v>0.5</c:v>
                </c:pt>
                <c:pt idx="15">
                  <c:v>0.5</c:v>
                </c:pt>
              </c:numCache>
            </c:numRef>
          </c:val>
          <c:smooth val="0"/>
          <c:extLst>
            <c:ext xmlns:c16="http://schemas.microsoft.com/office/drawing/2014/chart" uri="{C3380CC4-5D6E-409C-BE32-E72D297353CC}">
              <c16:uniqueId val="{00000001-176F-0344-9AAA-601C4E733E0A}"/>
            </c:ext>
          </c:extLst>
        </c:ser>
        <c:dLbls>
          <c:showLegendKey val="0"/>
          <c:showVal val="0"/>
          <c:showCatName val="0"/>
          <c:showSerName val="0"/>
          <c:showPercent val="0"/>
          <c:showBubbleSize val="0"/>
        </c:dLbls>
        <c:smooth val="0"/>
        <c:axId val="1570901503"/>
        <c:axId val="1570911807"/>
      </c:lineChart>
      <c:catAx>
        <c:axId val="157090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11807"/>
        <c:crosses val="autoZero"/>
        <c:auto val="1"/>
        <c:lblAlgn val="ctr"/>
        <c:lblOffset val="100"/>
        <c:noMultiLvlLbl val="0"/>
      </c:catAx>
      <c:valAx>
        <c:axId val="1570911807"/>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01503"/>
        <c:crosses val="autoZero"/>
        <c:crossBetween val="between"/>
        <c:majorUnit val="0.2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IT"/>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Utente 8</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T"/>
        </a:p>
      </c:txPr>
    </c:title>
    <c:autoTitleDeleted val="0"/>
    <c:plotArea>
      <c:layout/>
      <c:lineChart>
        <c:grouping val="standard"/>
        <c:varyColors val="0"/>
        <c:ser>
          <c:idx val="0"/>
          <c:order val="0"/>
          <c:spPr>
            <a:ln w="28575" cap="rnd">
              <a:solidFill>
                <a:schemeClr val="accent1"/>
              </a:solidFill>
              <a:round/>
            </a:ln>
            <a:effectLst/>
          </c:spPr>
          <c:marker>
            <c:symbol val="none"/>
          </c:marker>
          <c:val>
            <c:numRef>
              <c:f>'first_round_of_test (soglie)'!$K$115:$K$130</c:f>
              <c:numCache>
                <c:formatCode>General</c:formatCode>
                <c:ptCount val="16"/>
                <c:pt idx="0">
                  <c:v>1</c:v>
                </c:pt>
                <c:pt idx="1">
                  <c:v>0.8</c:v>
                </c:pt>
                <c:pt idx="2">
                  <c:v>0.5</c:v>
                </c:pt>
                <c:pt idx="3">
                  <c:v>0.8</c:v>
                </c:pt>
                <c:pt idx="4">
                  <c:v>0.5</c:v>
                </c:pt>
                <c:pt idx="5">
                  <c:v>1</c:v>
                </c:pt>
                <c:pt idx="6">
                  <c:v>1</c:v>
                </c:pt>
                <c:pt idx="7">
                  <c:v>1</c:v>
                </c:pt>
                <c:pt idx="8">
                  <c:v>0.5</c:v>
                </c:pt>
                <c:pt idx="9">
                  <c:v>0.6</c:v>
                </c:pt>
                <c:pt idx="10">
                  <c:v>0.8</c:v>
                </c:pt>
                <c:pt idx="11">
                  <c:v>0.5</c:v>
                </c:pt>
                <c:pt idx="12">
                  <c:v>0.8</c:v>
                </c:pt>
                <c:pt idx="13">
                  <c:v>0.5</c:v>
                </c:pt>
                <c:pt idx="14">
                  <c:v>1</c:v>
                </c:pt>
                <c:pt idx="15">
                  <c:v>0.5</c:v>
                </c:pt>
              </c:numCache>
            </c:numRef>
          </c:val>
          <c:smooth val="0"/>
          <c:extLst>
            <c:ext xmlns:c16="http://schemas.microsoft.com/office/drawing/2014/chart" uri="{C3380CC4-5D6E-409C-BE32-E72D297353CC}">
              <c16:uniqueId val="{00000000-FC27-B348-BBAA-390F1470759D}"/>
            </c:ext>
          </c:extLst>
        </c:ser>
        <c:ser>
          <c:idx val="1"/>
          <c:order val="1"/>
          <c:tx>
            <c:v>Soglia Randomness</c:v>
          </c:tx>
          <c:spPr>
            <a:ln w="28575" cap="rnd">
              <a:solidFill>
                <a:schemeClr val="accent2"/>
              </a:solidFill>
              <a:round/>
            </a:ln>
            <a:effectLst/>
          </c:spPr>
          <c:marker>
            <c:symbol val="none"/>
          </c:marker>
          <c:val>
            <c:numRef>
              <c:f>'first_round_of_test (soglie)'!$X$3:$X$18</c:f>
              <c:numCache>
                <c:formatCode>General</c:formatCode>
                <c:ptCount val="16"/>
                <c:pt idx="0">
                  <c:v>0.5</c:v>
                </c:pt>
                <c:pt idx="1">
                  <c:v>0.5</c:v>
                </c:pt>
                <c:pt idx="2">
                  <c:v>0.5</c:v>
                </c:pt>
                <c:pt idx="3">
                  <c:v>0.5</c:v>
                </c:pt>
                <c:pt idx="4">
                  <c:v>0.5</c:v>
                </c:pt>
                <c:pt idx="5">
                  <c:v>0.5</c:v>
                </c:pt>
                <c:pt idx="6">
                  <c:v>0.5</c:v>
                </c:pt>
                <c:pt idx="7">
                  <c:v>0.5</c:v>
                </c:pt>
                <c:pt idx="8">
                  <c:v>0.5</c:v>
                </c:pt>
                <c:pt idx="9">
                  <c:v>0.5</c:v>
                </c:pt>
                <c:pt idx="10">
                  <c:v>0.5</c:v>
                </c:pt>
                <c:pt idx="11">
                  <c:v>0.5</c:v>
                </c:pt>
                <c:pt idx="12">
                  <c:v>0.5</c:v>
                </c:pt>
                <c:pt idx="13">
                  <c:v>0.5</c:v>
                </c:pt>
                <c:pt idx="14">
                  <c:v>0.5</c:v>
                </c:pt>
                <c:pt idx="15">
                  <c:v>0.5</c:v>
                </c:pt>
              </c:numCache>
            </c:numRef>
          </c:val>
          <c:smooth val="0"/>
          <c:extLst>
            <c:ext xmlns:c16="http://schemas.microsoft.com/office/drawing/2014/chart" uri="{C3380CC4-5D6E-409C-BE32-E72D297353CC}">
              <c16:uniqueId val="{00000001-FC27-B348-BBAA-390F1470759D}"/>
            </c:ext>
          </c:extLst>
        </c:ser>
        <c:dLbls>
          <c:showLegendKey val="0"/>
          <c:showVal val="0"/>
          <c:showCatName val="0"/>
          <c:showSerName val="0"/>
          <c:showPercent val="0"/>
          <c:showBubbleSize val="0"/>
        </c:dLbls>
        <c:smooth val="0"/>
        <c:axId val="1570901503"/>
        <c:axId val="1570911807"/>
      </c:lineChart>
      <c:catAx>
        <c:axId val="157090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11807"/>
        <c:crosses val="autoZero"/>
        <c:auto val="1"/>
        <c:lblAlgn val="ctr"/>
        <c:lblOffset val="100"/>
        <c:noMultiLvlLbl val="0"/>
      </c:catAx>
      <c:valAx>
        <c:axId val="1570911807"/>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01503"/>
        <c:crosses val="autoZero"/>
        <c:crossBetween val="between"/>
        <c:majorUnit val="0.2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IT"/>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Utente 9</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T"/>
        </a:p>
      </c:txPr>
    </c:title>
    <c:autoTitleDeleted val="0"/>
    <c:plotArea>
      <c:layout/>
      <c:lineChart>
        <c:grouping val="standard"/>
        <c:varyColors val="0"/>
        <c:ser>
          <c:idx val="0"/>
          <c:order val="0"/>
          <c:spPr>
            <a:ln w="28575" cap="rnd">
              <a:solidFill>
                <a:schemeClr val="accent1"/>
              </a:solidFill>
              <a:round/>
            </a:ln>
            <a:effectLst/>
          </c:spPr>
          <c:marker>
            <c:symbol val="none"/>
          </c:marker>
          <c:val>
            <c:numRef>
              <c:f>'first_round_of_test (soglie)'!$K$131:$K$146</c:f>
              <c:numCache>
                <c:formatCode>General</c:formatCode>
                <c:ptCount val="16"/>
                <c:pt idx="0">
                  <c:v>1</c:v>
                </c:pt>
                <c:pt idx="1">
                  <c:v>0.8</c:v>
                </c:pt>
                <c:pt idx="2">
                  <c:v>1</c:v>
                </c:pt>
                <c:pt idx="3">
                  <c:v>0.8</c:v>
                </c:pt>
                <c:pt idx="4">
                  <c:v>1</c:v>
                </c:pt>
                <c:pt idx="5">
                  <c:v>1</c:v>
                </c:pt>
                <c:pt idx="6">
                  <c:v>1</c:v>
                </c:pt>
                <c:pt idx="7">
                  <c:v>0.8</c:v>
                </c:pt>
                <c:pt idx="8">
                  <c:v>1</c:v>
                </c:pt>
                <c:pt idx="9">
                  <c:v>1</c:v>
                </c:pt>
                <c:pt idx="10">
                  <c:v>0.6</c:v>
                </c:pt>
                <c:pt idx="11">
                  <c:v>1</c:v>
                </c:pt>
                <c:pt idx="12">
                  <c:v>1</c:v>
                </c:pt>
                <c:pt idx="13">
                  <c:v>1</c:v>
                </c:pt>
                <c:pt idx="14">
                  <c:v>1</c:v>
                </c:pt>
                <c:pt idx="15">
                  <c:v>0.5</c:v>
                </c:pt>
              </c:numCache>
            </c:numRef>
          </c:val>
          <c:smooth val="0"/>
          <c:extLst>
            <c:ext xmlns:c16="http://schemas.microsoft.com/office/drawing/2014/chart" uri="{C3380CC4-5D6E-409C-BE32-E72D297353CC}">
              <c16:uniqueId val="{00000000-A75F-C642-A221-05E8F97FB17F}"/>
            </c:ext>
          </c:extLst>
        </c:ser>
        <c:ser>
          <c:idx val="1"/>
          <c:order val="1"/>
          <c:tx>
            <c:v>Soglia Randomness</c:v>
          </c:tx>
          <c:spPr>
            <a:ln w="28575" cap="rnd">
              <a:solidFill>
                <a:schemeClr val="accent2"/>
              </a:solidFill>
              <a:round/>
            </a:ln>
            <a:effectLst/>
          </c:spPr>
          <c:marker>
            <c:symbol val="none"/>
          </c:marker>
          <c:val>
            <c:numRef>
              <c:f>'first_round_of_test (soglie)'!$X$3:$X$18</c:f>
              <c:numCache>
                <c:formatCode>General</c:formatCode>
                <c:ptCount val="16"/>
                <c:pt idx="0">
                  <c:v>0.5</c:v>
                </c:pt>
                <c:pt idx="1">
                  <c:v>0.5</c:v>
                </c:pt>
                <c:pt idx="2">
                  <c:v>0.5</c:v>
                </c:pt>
                <c:pt idx="3">
                  <c:v>0.5</c:v>
                </c:pt>
                <c:pt idx="4">
                  <c:v>0.5</c:v>
                </c:pt>
                <c:pt idx="5">
                  <c:v>0.5</c:v>
                </c:pt>
                <c:pt idx="6">
                  <c:v>0.5</c:v>
                </c:pt>
                <c:pt idx="7">
                  <c:v>0.5</c:v>
                </c:pt>
                <c:pt idx="8">
                  <c:v>0.5</c:v>
                </c:pt>
                <c:pt idx="9">
                  <c:v>0.5</c:v>
                </c:pt>
                <c:pt idx="10">
                  <c:v>0.5</c:v>
                </c:pt>
                <c:pt idx="11">
                  <c:v>0.5</c:v>
                </c:pt>
                <c:pt idx="12">
                  <c:v>0.5</c:v>
                </c:pt>
                <c:pt idx="13">
                  <c:v>0.5</c:v>
                </c:pt>
                <c:pt idx="14">
                  <c:v>0.5</c:v>
                </c:pt>
                <c:pt idx="15">
                  <c:v>0.5</c:v>
                </c:pt>
              </c:numCache>
            </c:numRef>
          </c:val>
          <c:smooth val="0"/>
          <c:extLst>
            <c:ext xmlns:c16="http://schemas.microsoft.com/office/drawing/2014/chart" uri="{C3380CC4-5D6E-409C-BE32-E72D297353CC}">
              <c16:uniqueId val="{00000001-A75F-C642-A221-05E8F97FB17F}"/>
            </c:ext>
          </c:extLst>
        </c:ser>
        <c:dLbls>
          <c:showLegendKey val="0"/>
          <c:showVal val="0"/>
          <c:showCatName val="0"/>
          <c:showSerName val="0"/>
          <c:showPercent val="0"/>
          <c:showBubbleSize val="0"/>
        </c:dLbls>
        <c:smooth val="0"/>
        <c:axId val="1570901503"/>
        <c:axId val="1570911807"/>
      </c:lineChart>
      <c:catAx>
        <c:axId val="157090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11807"/>
        <c:crosses val="autoZero"/>
        <c:auto val="1"/>
        <c:lblAlgn val="ctr"/>
        <c:lblOffset val="100"/>
        <c:noMultiLvlLbl val="0"/>
      </c:catAx>
      <c:valAx>
        <c:axId val="1570911807"/>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01503"/>
        <c:crosses val="autoZero"/>
        <c:crossBetween val="between"/>
        <c:majorUnit val="0.2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IT"/>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Utente 10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T"/>
        </a:p>
      </c:txPr>
    </c:title>
    <c:autoTitleDeleted val="0"/>
    <c:plotArea>
      <c:layout/>
      <c:lineChart>
        <c:grouping val="standard"/>
        <c:varyColors val="0"/>
        <c:ser>
          <c:idx val="0"/>
          <c:order val="0"/>
          <c:spPr>
            <a:ln w="28575" cap="rnd">
              <a:solidFill>
                <a:schemeClr val="accent1"/>
              </a:solidFill>
              <a:round/>
            </a:ln>
            <a:effectLst/>
          </c:spPr>
          <c:marker>
            <c:symbol val="none"/>
          </c:marker>
          <c:val>
            <c:numRef>
              <c:f>'first_round_of_test (soglie)'!$K$147:$K$162</c:f>
              <c:numCache>
                <c:formatCode>General</c:formatCode>
                <c:ptCount val="16"/>
                <c:pt idx="0">
                  <c:v>1</c:v>
                </c:pt>
                <c:pt idx="1">
                  <c:v>0.4</c:v>
                </c:pt>
                <c:pt idx="2">
                  <c:v>0.5</c:v>
                </c:pt>
                <c:pt idx="3">
                  <c:v>0.6</c:v>
                </c:pt>
                <c:pt idx="4">
                  <c:v>0.5</c:v>
                </c:pt>
                <c:pt idx="5">
                  <c:v>1</c:v>
                </c:pt>
                <c:pt idx="6">
                  <c:v>0.5</c:v>
                </c:pt>
                <c:pt idx="7">
                  <c:v>0.8</c:v>
                </c:pt>
                <c:pt idx="8">
                  <c:v>0.5</c:v>
                </c:pt>
                <c:pt idx="9">
                  <c:v>0.8</c:v>
                </c:pt>
                <c:pt idx="10">
                  <c:v>0.6</c:v>
                </c:pt>
                <c:pt idx="11">
                  <c:v>0.5</c:v>
                </c:pt>
                <c:pt idx="12">
                  <c:v>0.6</c:v>
                </c:pt>
                <c:pt idx="13">
                  <c:v>0.5</c:v>
                </c:pt>
                <c:pt idx="14">
                  <c:v>0.8</c:v>
                </c:pt>
                <c:pt idx="15">
                  <c:v>0.25</c:v>
                </c:pt>
              </c:numCache>
            </c:numRef>
          </c:val>
          <c:smooth val="0"/>
          <c:extLst>
            <c:ext xmlns:c16="http://schemas.microsoft.com/office/drawing/2014/chart" uri="{C3380CC4-5D6E-409C-BE32-E72D297353CC}">
              <c16:uniqueId val="{00000000-8830-B043-886E-6234174EEAA7}"/>
            </c:ext>
          </c:extLst>
        </c:ser>
        <c:ser>
          <c:idx val="1"/>
          <c:order val="1"/>
          <c:tx>
            <c:v>Soglia Randomness</c:v>
          </c:tx>
          <c:spPr>
            <a:ln w="28575" cap="rnd">
              <a:solidFill>
                <a:schemeClr val="accent2"/>
              </a:solidFill>
              <a:round/>
            </a:ln>
            <a:effectLst/>
          </c:spPr>
          <c:marker>
            <c:symbol val="none"/>
          </c:marker>
          <c:val>
            <c:numRef>
              <c:f>'first_round_of_test (soglie)'!$X$3:$X$18</c:f>
              <c:numCache>
                <c:formatCode>General</c:formatCode>
                <c:ptCount val="16"/>
                <c:pt idx="0">
                  <c:v>0.5</c:v>
                </c:pt>
                <c:pt idx="1">
                  <c:v>0.5</c:v>
                </c:pt>
                <c:pt idx="2">
                  <c:v>0.5</c:v>
                </c:pt>
                <c:pt idx="3">
                  <c:v>0.5</c:v>
                </c:pt>
                <c:pt idx="4">
                  <c:v>0.5</c:v>
                </c:pt>
                <c:pt idx="5">
                  <c:v>0.5</c:v>
                </c:pt>
                <c:pt idx="6">
                  <c:v>0.5</c:v>
                </c:pt>
                <c:pt idx="7">
                  <c:v>0.5</c:v>
                </c:pt>
                <c:pt idx="8">
                  <c:v>0.5</c:v>
                </c:pt>
                <c:pt idx="9">
                  <c:v>0.5</c:v>
                </c:pt>
                <c:pt idx="10">
                  <c:v>0.5</c:v>
                </c:pt>
                <c:pt idx="11">
                  <c:v>0.5</c:v>
                </c:pt>
                <c:pt idx="12">
                  <c:v>0.5</c:v>
                </c:pt>
                <c:pt idx="13">
                  <c:v>0.5</c:v>
                </c:pt>
                <c:pt idx="14">
                  <c:v>0.5</c:v>
                </c:pt>
                <c:pt idx="15">
                  <c:v>0.5</c:v>
                </c:pt>
              </c:numCache>
            </c:numRef>
          </c:val>
          <c:smooth val="0"/>
          <c:extLst>
            <c:ext xmlns:c16="http://schemas.microsoft.com/office/drawing/2014/chart" uri="{C3380CC4-5D6E-409C-BE32-E72D297353CC}">
              <c16:uniqueId val="{00000001-8830-B043-886E-6234174EEAA7}"/>
            </c:ext>
          </c:extLst>
        </c:ser>
        <c:dLbls>
          <c:showLegendKey val="0"/>
          <c:showVal val="0"/>
          <c:showCatName val="0"/>
          <c:showSerName val="0"/>
          <c:showPercent val="0"/>
          <c:showBubbleSize val="0"/>
        </c:dLbls>
        <c:smooth val="0"/>
        <c:axId val="1570901503"/>
        <c:axId val="1570911807"/>
      </c:lineChart>
      <c:catAx>
        <c:axId val="157090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11807"/>
        <c:crosses val="autoZero"/>
        <c:auto val="1"/>
        <c:lblAlgn val="ctr"/>
        <c:lblOffset val="100"/>
        <c:noMultiLvlLbl val="0"/>
      </c:catAx>
      <c:valAx>
        <c:axId val="1570911807"/>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01503"/>
        <c:crosses val="autoZero"/>
        <c:crossBetween val="between"/>
        <c:majorUnit val="0.2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IT"/>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Utente 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T"/>
        </a:p>
      </c:txPr>
    </c:title>
    <c:autoTitleDeleted val="0"/>
    <c:plotArea>
      <c:layout/>
      <c:lineChart>
        <c:grouping val="standard"/>
        <c:varyColors val="0"/>
        <c:ser>
          <c:idx val="0"/>
          <c:order val="0"/>
          <c:tx>
            <c:v>Analisi Statistica</c:v>
          </c:tx>
          <c:spPr>
            <a:ln w="28575" cap="rnd">
              <a:solidFill>
                <a:schemeClr val="accent2"/>
              </a:solidFill>
              <a:round/>
            </a:ln>
            <a:effectLst/>
          </c:spPr>
          <c:marker>
            <c:symbol val="none"/>
          </c:marker>
          <c:val>
            <c:numRef>
              <c:f>'first_round_of_test (soglie)'!$K$51:$K$66</c:f>
              <c:numCache>
                <c:formatCode>General</c:formatCode>
                <c:ptCount val="16"/>
                <c:pt idx="0">
                  <c:v>1</c:v>
                </c:pt>
                <c:pt idx="1">
                  <c:v>0.4</c:v>
                </c:pt>
                <c:pt idx="2">
                  <c:v>1</c:v>
                </c:pt>
                <c:pt idx="3">
                  <c:v>0.4</c:v>
                </c:pt>
                <c:pt idx="4">
                  <c:v>1</c:v>
                </c:pt>
                <c:pt idx="5">
                  <c:v>1</c:v>
                </c:pt>
                <c:pt idx="6">
                  <c:v>1</c:v>
                </c:pt>
                <c:pt idx="7">
                  <c:v>0.8</c:v>
                </c:pt>
                <c:pt idx="8">
                  <c:v>1</c:v>
                </c:pt>
                <c:pt idx="9">
                  <c:v>0.8</c:v>
                </c:pt>
                <c:pt idx="10">
                  <c:v>0.4</c:v>
                </c:pt>
                <c:pt idx="11">
                  <c:v>1</c:v>
                </c:pt>
                <c:pt idx="12">
                  <c:v>0.6</c:v>
                </c:pt>
                <c:pt idx="13">
                  <c:v>1</c:v>
                </c:pt>
                <c:pt idx="14">
                  <c:v>0.8</c:v>
                </c:pt>
                <c:pt idx="15">
                  <c:v>0.75</c:v>
                </c:pt>
              </c:numCache>
            </c:numRef>
          </c:val>
          <c:smooth val="0"/>
          <c:extLst>
            <c:ext xmlns:c16="http://schemas.microsoft.com/office/drawing/2014/chart" uri="{C3380CC4-5D6E-409C-BE32-E72D297353CC}">
              <c16:uniqueId val="{00000000-7A7C-9F4D-A87B-7F1E8E0748EE}"/>
            </c:ext>
          </c:extLst>
        </c:ser>
        <c:ser>
          <c:idx val="2"/>
          <c:order val="1"/>
          <c:tx>
            <c:v>Risposte Gemini</c:v>
          </c:tx>
          <c:spPr>
            <a:ln w="28575" cap="rnd">
              <a:solidFill>
                <a:schemeClr val="accent6"/>
              </a:solidFill>
              <a:round/>
            </a:ln>
            <a:effectLst/>
          </c:spPr>
          <c:marker>
            <c:symbol val="none"/>
          </c:marker>
          <c:val>
            <c:numRef>
              <c:f>'first_round_of_test (Sara)'!$K$51:$K$66</c:f>
              <c:numCache>
                <c:formatCode>General</c:formatCode>
                <c:ptCount val="1"/>
                <c:pt idx="0">
                  <c:v>0.6</c:v>
                </c:pt>
              </c:numCache>
            </c:numRef>
          </c:val>
          <c:smooth val="0"/>
          <c:extLst>
            <c:ext xmlns:c16="http://schemas.microsoft.com/office/drawing/2014/chart" uri="{C3380CC4-5D6E-409C-BE32-E72D297353CC}">
              <c16:uniqueId val="{00000001-7A7C-9F4D-A87B-7F1E8E0748EE}"/>
            </c:ext>
          </c:extLst>
        </c:ser>
        <c:dLbls>
          <c:showLegendKey val="0"/>
          <c:showVal val="0"/>
          <c:showCatName val="0"/>
          <c:showSerName val="0"/>
          <c:showPercent val="0"/>
          <c:showBubbleSize val="0"/>
        </c:dLbls>
        <c:smooth val="0"/>
        <c:axId val="1570901503"/>
        <c:axId val="1570911807"/>
      </c:lineChart>
      <c:catAx>
        <c:axId val="157090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11807"/>
        <c:crosses val="autoZero"/>
        <c:auto val="1"/>
        <c:lblAlgn val="ctr"/>
        <c:lblOffset val="100"/>
        <c:noMultiLvlLbl val="0"/>
      </c:catAx>
      <c:valAx>
        <c:axId val="1570911807"/>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01503"/>
        <c:crosses val="autoZero"/>
        <c:crossBetween val="between"/>
        <c:majorUnit val="0.2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IT"/>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Utente 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T"/>
        </a:p>
      </c:txPr>
    </c:title>
    <c:autoTitleDeleted val="0"/>
    <c:plotArea>
      <c:layout/>
      <c:lineChart>
        <c:grouping val="standard"/>
        <c:varyColors val="0"/>
        <c:ser>
          <c:idx val="0"/>
          <c:order val="0"/>
          <c:tx>
            <c:v>Analisi Statistica</c:v>
          </c:tx>
          <c:spPr>
            <a:ln w="28575" cap="rnd">
              <a:solidFill>
                <a:schemeClr val="accent2"/>
              </a:solidFill>
              <a:round/>
            </a:ln>
            <a:effectLst/>
          </c:spPr>
          <c:marker>
            <c:symbol val="none"/>
          </c:marker>
          <c:val>
            <c:numRef>
              <c:f>'first_round_of_test (soglie)'!$K$67:$K$82</c:f>
              <c:numCache>
                <c:formatCode>General</c:formatCode>
                <c:ptCount val="16"/>
                <c:pt idx="0">
                  <c:v>1</c:v>
                </c:pt>
                <c:pt idx="1">
                  <c:v>0.4</c:v>
                </c:pt>
                <c:pt idx="2">
                  <c:v>1</c:v>
                </c:pt>
                <c:pt idx="3">
                  <c:v>0.6</c:v>
                </c:pt>
                <c:pt idx="4">
                  <c:v>1</c:v>
                </c:pt>
                <c:pt idx="5">
                  <c:v>1</c:v>
                </c:pt>
                <c:pt idx="6">
                  <c:v>1</c:v>
                </c:pt>
                <c:pt idx="7">
                  <c:v>0.8</c:v>
                </c:pt>
                <c:pt idx="8">
                  <c:v>1</c:v>
                </c:pt>
                <c:pt idx="9">
                  <c:v>0.8</c:v>
                </c:pt>
                <c:pt idx="10">
                  <c:v>0.4</c:v>
                </c:pt>
                <c:pt idx="11">
                  <c:v>1</c:v>
                </c:pt>
                <c:pt idx="12">
                  <c:v>0.4</c:v>
                </c:pt>
                <c:pt idx="13">
                  <c:v>0.5</c:v>
                </c:pt>
                <c:pt idx="14">
                  <c:v>0.8</c:v>
                </c:pt>
                <c:pt idx="15">
                  <c:v>1</c:v>
                </c:pt>
              </c:numCache>
            </c:numRef>
          </c:val>
          <c:smooth val="0"/>
          <c:extLst>
            <c:ext xmlns:c16="http://schemas.microsoft.com/office/drawing/2014/chart" uri="{C3380CC4-5D6E-409C-BE32-E72D297353CC}">
              <c16:uniqueId val="{00000000-46D8-F242-85D3-89E5B42FD5E3}"/>
            </c:ext>
          </c:extLst>
        </c:ser>
        <c:ser>
          <c:idx val="2"/>
          <c:order val="1"/>
          <c:tx>
            <c:v>Risposte Gemini</c:v>
          </c:tx>
          <c:spPr>
            <a:ln w="28575" cap="rnd">
              <a:solidFill>
                <a:schemeClr val="accent6"/>
              </a:solidFill>
              <a:round/>
            </a:ln>
            <a:effectLst/>
          </c:spPr>
          <c:marker>
            <c:symbol val="none"/>
          </c:marker>
          <c:val>
            <c:numRef>
              <c:f>'first_round_of_test (Sara)'!$K$67:$K$82</c:f>
              <c:numCache>
                <c:formatCode>General</c:formatCode>
                <c:ptCount val="2"/>
                <c:pt idx="0">
                  <c:v>1</c:v>
                </c:pt>
                <c:pt idx="1">
                  <c:v>0.5</c:v>
                </c:pt>
              </c:numCache>
            </c:numRef>
          </c:val>
          <c:smooth val="0"/>
          <c:extLst>
            <c:ext xmlns:c16="http://schemas.microsoft.com/office/drawing/2014/chart" uri="{C3380CC4-5D6E-409C-BE32-E72D297353CC}">
              <c16:uniqueId val="{00000001-46D8-F242-85D3-89E5B42FD5E3}"/>
            </c:ext>
          </c:extLst>
        </c:ser>
        <c:dLbls>
          <c:showLegendKey val="0"/>
          <c:showVal val="0"/>
          <c:showCatName val="0"/>
          <c:showSerName val="0"/>
          <c:showPercent val="0"/>
          <c:showBubbleSize val="0"/>
        </c:dLbls>
        <c:smooth val="0"/>
        <c:axId val="1570901503"/>
        <c:axId val="1570911807"/>
      </c:lineChart>
      <c:catAx>
        <c:axId val="157090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11807"/>
        <c:crosses val="autoZero"/>
        <c:auto val="1"/>
        <c:lblAlgn val="ctr"/>
        <c:lblOffset val="100"/>
        <c:noMultiLvlLbl val="0"/>
      </c:catAx>
      <c:valAx>
        <c:axId val="1570911807"/>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01503"/>
        <c:crosses val="autoZero"/>
        <c:crossBetween val="between"/>
        <c:majorUnit val="0.2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IT"/>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Utente 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T"/>
        </a:p>
      </c:txPr>
    </c:title>
    <c:autoTitleDeleted val="0"/>
    <c:plotArea>
      <c:layout/>
      <c:lineChart>
        <c:grouping val="standard"/>
        <c:varyColors val="0"/>
        <c:ser>
          <c:idx val="0"/>
          <c:order val="0"/>
          <c:tx>
            <c:v>Analisi Statistica</c:v>
          </c:tx>
          <c:spPr>
            <a:ln w="28575" cap="rnd">
              <a:solidFill>
                <a:schemeClr val="accent2"/>
              </a:solidFill>
              <a:round/>
            </a:ln>
            <a:effectLst/>
          </c:spPr>
          <c:marker>
            <c:symbol val="none"/>
          </c:marker>
          <c:val>
            <c:numRef>
              <c:f>'first_round_of_test (soglie)'!$K$83:$K$98</c:f>
              <c:numCache>
                <c:formatCode>General</c:formatCode>
                <c:ptCount val="16"/>
                <c:pt idx="0">
                  <c:v>1</c:v>
                </c:pt>
                <c:pt idx="1">
                  <c:v>0.8</c:v>
                </c:pt>
                <c:pt idx="2">
                  <c:v>1</c:v>
                </c:pt>
                <c:pt idx="3">
                  <c:v>0.4</c:v>
                </c:pt>
                <c:pt idx="4">
                  <c:v>0.5</c:v>
                </c:pt>
                <c:pt idx="5">
                  <c:v>0.8</c:v>
                </c:pt>
                <c:pt idx="6">
                  <c:v>1</c:v>
                </c:pt>
                <c:pt idx="7">
                  <c:v>0.8</c:v>
                </c:pt>
                <c:pt idx="8">
                  <c:v>0.5</c:v>
                </c:pt>
                <c:pt idx="9">
                  <c:v>1</c:v>
                </c:pt>
                <c:pt idx="10">
                  <c:v>0.6</c:v>
                </c:pt>
                <c:pt idx="11">
                  <c:v>1</c:v>
                </c:pt>
                <c:pt idx="12">
                  <c:v>1</c:v>
                </c:pt>
                <c:pt idx="13">
                  <c:v>1</c:v>
                </c:pt>
                <c:pt idx="14">
                  <c:v>0.6</c:v>
                </c:pt>
                <c:pt idx="15">
                  <c:v>0.75</c:v>
                </c:pt>
              </c:numCache>
            </c:numRef>
          </c:val>
          <c:smooth val="0"/>
          <c:extLst>
            <c:ext xmlns:c16="http://schemas.microsoft.com/office/drawing/2014/chart" uri="{C3380CC4-5D6E-409C-BE32-E72D297353CC}">
              <c16:uniqueId val="{00000000-7412-2B43-8420-0DF49497EF7A}"/>
            </c:ext>
          </c:extLst>
        </c:ser>
        <c:ser>
          <c:idx val="2"/>
          <c:order val="1"/>
          <c:tx>
            <c:v>Risposte Gemini</c:v>
          </c:tx>
          <c:spPr>
            <a:ln w="28575" cap="rnd">
              <a:solidFill>
                <a:schemeClr val="accent6"/>
              </a:solidFill>
              <a:round/>
            </a:ln>
            <a:effectLst/>
          </c:spPr>
          <c:marker>
            <c:symbol val="none"/>
          </c:marker>
          <c:val>
            <c:numRef>
              <c:f>'first_round_of_test (Sara)'!$K$83:$K$98</c:f>
              <c:numCache>
                <c:formatCode>General</c:formatCode>
                <c:ptCount val="3"/>
                <c:pt idx="0">
                  <c:v>0.5</c:v>
                </c:pt>
                <c:pt idx="1">
                  <c:v>0.5</c:v>
                </c:pt>
                <c:pt idx="2">
                  <c:v>1</c:v>
                </c:pt>
              </c:numCache>
            </c:numRef>
          </c:val>
          <c:smooth val="0"/>
          <c:extLst>
            <c:ext xmlns:c16="http://schemas.microsoft.com/office/drawing/2014/chart" uri="{C3380CC4-5D6E-409C-BE32-E72D297353CC}">
              <c16:uniqueId val="{00000001-7412-2B43-8420-0DF49497EF7A}"/>
            </c:ext>
          </c:extLst>
        </c:ser>
        <c:dLbls>
          <c:showLegendKey val="0"/>
          <c:showVal val="0"/>
          <c:showCatName val="0"/>
          <c:showSerName val="0"/>
          <c:showPercent val="0"/>
          <c:showBubbleSize val="0"/>
        </c:dLbls>
        <c:smooth val="0"/>
        <c:axId val="1570901503"/>
        <c:axId val="1570911807"/>
      </c:lineChart>
      <c:catAx>
        <c:axId val="157090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11807"/>
        <c:crosses val="autoZero"/>
        <c:auto val="1"/>
        <c:lblAlgn val="ctr"/>
        <c:lblOffset val="100"/>
        <c:noMultiLvlLbl val="0"/>
      </c:catAx>
      <c:valAx>
        <c:axId val="1570911807"/>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01503"/>
        <c:crosses val="autoZero"/>
        <c:crossBetween val="between"/>
        <c:majorUnit val="0.2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IT"/>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Utente 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T"/>
        </a:p>
      </c:txPr>
    </c:title>
    <c:autoTitleDeleted val="0"/>
    <c:plotArea>
      <c:layout/>
      <c:lineChart>
        <c:grouping val="standard"/>
        <c:varyColors val="0"/>
        <c:ser>
          <c:idx val="0"/>
          <c:order val="0"/>
          <c:tx>
            <c:v>Analisi Statistica</c:v>
          </c:tx>
          <c:spPr>
            <a:ln w="28575" cap="rnd">
              <a:solidFill>
                <a:schemeClr val="accent2"/>
              </a:solidFill>
              <a:round/>
            </a:ln>
            <a:effectLst/>
          </c:spPr>
          <c:marker>
            <c:symbol val="none"/>
          </c:marker>
          <c:val>
            <c:numRef>
              <c:f>'first_round_of_test (soglie)'!$K$99:$K$114</c:f>
              <c:numCache>
                <c:formatCode>General</c:formatCode>
                <c:ptCount val="16"/>
                <c:pt idx="0">
                  <c:v>1</c:v>
                </c:pt>
                <c:pt idx="1">
                  <c:v>1</c:v>
                </c:pt>
                <c:pt idx="2">
                  <c:v>1</c:v>
                </c:pt>
                <c:pt idx="3">
                  <c:v>1</c:v>
                </c:pt>
                <c:pt idx="4">
                  <c:v>0.5</c:v>
                </c:pt>
                <c:pt idx="5">
                  <c:v>0.4</c:v>
                </c:pt>
                <c:pt idx="6">
                  <c:v>0.5</c:v>
                </c:pt>
                <c:pt idx="7">
                  <c:v>0.4</c:v>
                </c:pt>
                <c:pt idx="8">
                  <c:v>0.5</c:v>
                </c:pt>
                <c:pt idx="9">
                  <c:v>0.6</c:v>
                </c:pt>
                <c:pt idx="10">
                  <c:v>0.2</c:v>
                </c:pt>
                <c:pt idx="11">
                  <c:v>1</c:v>
                </c:pt>
                <c:pt idx="12">
                  <c:v>0.8</c:v>
                </c:pt>
                <c:pt idx="13">
                  <c:v>1</c:v>
                </c:pt>
                <c:pt idx="14">
                  <c:v>0.6</c:v>
                </c:pt>
                <c:pt idx="15">
                  <c:v>0.5</c:v>
                </c:pt>
              </c:numCache>
            </c:numRef>
          </c:val>
          <c:smooth val="0"/>
          <c:extLst>
            <c:ext xmlns:c16="http://schemas.microsoft.com/office/drawing/2014/chart" uri="{C3380CC4-5D6E-409C-BE32-E72D297353CC}">
              <c16:uniqueId val="{00000000-238E-C84B-91AC-4A0813CEE9D2}"/>
            </c:ext>
          </c:extLst>
        </c:ser>
        <c:ser>
          <c:idx val="2"/>
          <c:order val="1"/>
          <c:tx>
            <c:v>Risposte Gemini</c:v>
          </c:tx>
          <c:spPr>
            <a:ln w="28575" cap="rnd">
              <a:solidFill>
                <a:schemeClr val="accent6"/>
              </a:solidFill>
              <a:round/>
            </a:ln>
            <a:effectLst/>
          </c:spPr>
          <c:marker>
            <c:symbol val="none"/>
          </c:marker>
          <c:val>
            <c:numRef>
              <c:f>'first_round_of_test (Sara)'!$K$99:$K$114</c:f>
              <c:numCache>
                <c:formatCode>General</c:formatCode>
                <c:ptCount val="4"/>
                <c:pt idx="0">
                  <c:v>0.5</c:v>
                </c:pt>
                <c:pt idx="1">
                  <c:v>0.5</c:v>
                </c:pt>
                <c:pt idx="2">
                  <c:v>0.5</c:v>
                </c:pt>
                <c:pt idx="3">
                  <c:v>0.8</c:v>
                </c:pt>
              </c:numCache>
            </c:numRef>
          </c:val>
          <c:smooth val="0"/>
          <c:extLst>
            <c:ext xmlns:c16="http://schemas.microsoft.com/office/drawing/2014/chart" uri="{C3380CC4-5D6E-409C-BE32-E72D297353CC}">
              <c16:uniqueId val="{00000001-238E-C84B-91AC-4A0813CEE9D2}"/>
            </c:ext>
          </c:extLst>
        </c:ser>
        <c:dLbls>
          <c:showLegendKey val="0"/>
          <c:showVal val="0"/>
          <c:showCatName val="0"/>
          <c:showSerName val="0"/>
          <c:showPercent val="0"/>
          <c:showBubbleSize val="0"/>
        </c:dLbls>
        <c:smooth val="0"/>
        <c:axId val="1570901503"/>
        <c:axId val="1570911807"/>
      </c:lineChart>
      <c:catAx>
        <c:axId val="157090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11807"/>
        <c:crosses val="autoZero"/>
        <c:auto val="1"/>
        <c:lblAlgn val="ctr"/>
        <c:lblOffset val="100"/>
        <c:noMultiLvlLbl val="0"/>
      </c:catAx>
      <c:valAx>
        <c:axId val="1570911807"/>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01503"/>
        <c:crosses val="autoZero"/>
        <c:crossBetween val="between"/>
        <c:majorUnit val="0.2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IT"/>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Utente 8</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T"/>
        </a:p>
      </c:txPr>
    </c:title>
    <c:autoTitleDeleted val="0"/>
    <c:plotArea>
      <c:layout/>
      <c:lineChart>
        <c:grouping val="standard"/>
        <c:varyColors val="0"/>
        <c:ser>
          <c:idx val="0"/>
          <c:order val="0"/>
          <c:tx>
            <c:v>Analisi Statistica</c:v>
          </c:tx>
          <c:spPr>
            <a:ln w="28575" cap="rnd">
              <a:solidFill>
                <a:schemeClr val="accent2"/>
              </a:solidFill>
              <a:round/>
            </a:ln>
            <a:effectLst/>
          </c:spPr>
          <c:marker>
            <c:symbol val="none"/>
          </c:marker>
          <c:val>
            <c:numRef>
              <c:f>'first_round_of_test (soglie)'!$K$115:$K$130</c:f>
              <c:numCache>
                <c:formatCode>General</c:formatCode>
                <c:ptCount val="16"/>
                <c:pt idx="0">
                  <c:v>1</c:v>
                </c:pt>
                <c:pt idx="1">
                  <c:v>0.8</c:v>
                </c:pt>
                <c:pt idx="2">
                  <c:v>0.5</c:v>
                </c:pt>
                <c:pt idx="3">
                  <c:v>0.8</c:v>
                </c:pt>
                <c:pt idx="4">
                  <c:v>0.5</c:v>
                </c:pt>
                <c:pt idx="5">
                  <c:v>1</c:v>
                </c:pt>
                <c:pt idx="6">
                  <c:v>1</c:v>
                </c:pt>
                <c:pt idx="7">
                  <c:v>1</c:v>
                </c:pt>
                <c:pt idx="8">
                  <c:v>0.5</c:v>
                </c:pt>
                <c:pt idx="9">
                  <c:v>0.6</c:v>
                </c:pt>
                <c:pt idx="10">
                  <c:v>0.8</c:v>
                </c:pt>
                <c:pt idx="11">
                  <c:v>0.5</c:v>
                </c:pt>
                <c:pt idx="12">
                  <c:v>0.8</c:v>
                </c:pt>
                <c:pt idx="13">
                  <c:v>0.5</c:v>
                </c:pt>
                <c:pt idx="14">
                  <c:v>1</c:v>
                </c:pt>
                <c:pt idx="15">
                  <c:v>0.5</c:v>
                </c:pt>
              </c:numCache>
            </c:numRef>
          </c:val>
          <c:smooth val="0"/>
          <c:extLst>
            <c:ext xmlns:c16="http://schemas.microsoft.com/office/drawing/2014/chart" uri="{C3380CC4-5D6E-409C-BE32-E72D297353CC}">
              <c16:uniqueId val="{00000000-8E3A-1847-8F65-3330A680843F}"/>
            </c:ext>
          </c:extLst>
        </c:ser>
        <c:ser>
          <c:idx val="2"/>
          <c:order val="1"/>
          <c:tx>
            <c:v>Risposte Gemini</c:v>
          </c:tx>
          <c:spPr>
            <a:ln w="28575" cap="rnd">
              <a:solidFill>
                <a:schemeClr val="accent6"/>
              </a:solidFill>
              <a:round/>
            </a:ln>
            <a:effectLst/>
          </c:spPr>
          <c:marker>
            <c:symbol val="none"/>
          </c:marker>
          <c:val>
            <c:numRef>
              <c:f>'first_round_of_test (Sara)'!$K$115:$K$130</c:f>
              <c:numCache>
                <c:formatCode>General</c:formatCode>
                <c:ptCount val="3"/>
                <c:pt idx="0">
                  <c:v>0.5</c:v>
                </c:pt>
                <c:pt idx="1">
                  <c:v>0.5</c:v>
                </c:pt>
                <c:pt idx="2">
                  <c:v>0.5</c:v>
                </c:pt>
              </c:numCache>
            </c:numRef>
          </c:val>
          <c:smooth val="0"/>
          <c:extLst>
            <c:ext xmlns:c16="http://schemas.microsoft.com/office/drawing/2014/chart" uri="{C3380CC4-5D6E-409C-BE32-E72D297353CC}">
              <c16:uniqueId val="{00000001-8E3A-1847-8F65-3330A680843F}"/>
            </c:ext>
          </c:extLst>
        </c:ser>
        <c:dLbls>
          <c:showLegendKey val="0"/>
          <c:showVal val="0"/>
          <c:showCatName val="0"/>
          <c:showSerName val="0"/>
          <c:showPercent val="0"/>
          <c:showBubbleSize val="0"/>
        </c:dLbls>
        <c:smooth val="0"/>
        <c:axId val="1570901503"/>
        <c:axId val="1570911807"/>
      </c:lineChart>
      <c:catAx>
        <c:axId val="157090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11807"/>
        <c:crosses val="autoZero"/>
        <c:auto val="1"/>
        <c:lblAlgn val="ctr"/>
        <c:lblOffset val="100"/>
        <c:noMultiLvlLbl val="0"/>
      </c:catAx>
      <c:valAx>
        <c:axId val="1570911807"/>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01503"/>
        <c:crosses val="autoZero"/>
        <c:crossBetween val="between"/>
        <c:majorUnit val="0.2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IT"/>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Utente 9</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T"/>
        </a:p>
      </c:txPr>
    </c:title>
    <c:autoTitleDeleted val="0"/>
    <c:plotArea>
      <c:layout/>
      <c:lineChart>
        <c:grouping val="standard"/>
        <c:varyColors val="0"/>
        <c:ser>
          <c:idx val="0"/>
          <c:order val="0"/>
          <c:tx>
            <c:v>Analisi Statistica</c:v>
          </c:tx>
          <c:spPr>
            <a:ln w="28575" cap="rnd">
              <a:solidFill>
                <a:schemeClr val="accent2"/>
              </a:solidFill>
              <a:round/>
            </a:ln>
            <a:effectLst/>
          </c:spPr>
          <c:marker>
            <c:symbol val="none"/>
          </c:marker>
          <c:val>
            <c:numRef>
              <c:f>'first_round_of_test (soglie)'!$K$131:$K$146</c:f>
              <c:numCache>
                <c:formatCode>General</c:formatCode>
                <c:ptCount val="16"/>
                <c:pt idx="0">
                  <c:v>1</c:v>
                </c:pt>
                <c:pt idx="1">
                  <c:v>0.8</c:v>
                </c:pt>
                <c:pt idx="2">
                  <c:v>1</c:v>
                </c:pt>
                <c:pt idx="3">
                  <c:v>0.8</c:v>
                </c:pt>
                <c:pt idx="4">
                  <c:v>1</c:v>
                </c:pt>
                <c:pt idx="5">
                  <c:v>1</c:v>
                </c:pt>
                <c:pt idx="6">
                  <c:v>1</c:v>
                </c:pt>
                <c:pt idx="7">
                  <c:v>0.8</c:v>
                </c:pt>
                <c:pt idx="8">
                  <c:v>1</c:v>
                </c:pt>
                <c:pt idx="9">
                  <c:v>1</c:v>
                </c:pt>
                <c:pt idx="10">
                  <c:v>0.6</c:v>
                </c:pt>
                <c:pt idx="11">
                  <c:v>1</c:v>
                </c:pt>
                <c:pt idx="12">
                  <c:v>1</c:v>
                </c:pt>
                <c:pt idx="13">
                  <c:v>1</c:v>
                </c:pt>
                <c:pt idx="14">
                  <c:v>1</c:v>
                </c:pt>
                <c:pt idx="15">
                  <c:v>0.5</c:v>
                </c:pt>
              </c:numCache>
            </c:numRef>
          </c:val>
          <c:smooth val="0"/>
          <c:extLst>
            <c:ext xmlns:c16="http://schemas.microsoft.com/office/drawing/2014/chart" uri="{C3380CC4-5D6E-409C-BE32-E72D297353CC}">
              <c16:uniqueId val="{00000000-E93D-FE4A-9DCE-0BD3643229B3}"/>
            </c:ext>
          </c:extLst>
        </c:ser>
        <c:ser>
          <c:idx val="2"/>
          <c:order val="1"/>
          <c:tx>
            <c:v>Risposte Gemini</c:v>
          </c:tx>
          <c:spPr>
            <a:ln w="28575" cap="rnd">
              <a:solidFill>
                <a:schemeClr val="accent6"/>
              </a:solidFill>
              <a:round/>
            </a:ln>
            <a:effectLst/>
          </c:spPr>
          <c:marker>
            <c:symbol val="none"/>
          </c:marker>
          <c:val>
            <c:numRef>
              <c:f>'first_round_of_test (Sara)'!$K$131:$K$146</c:f>
            </c:numRef>
          </c:val>
          <c:smooth val="0"/>
          <c:extLst>
            <c:ext xmlns:c16="http://schemas.microsoft.com/office/drawing/2014/chart" uri="{C3380CC4-5D6E-409C-BE32-E72D297353CC}">
              <c16:uniqueId val="{00000001-E93D-FE4A-9DCE-0BD3643229B3}"/>
            </c:ext>
          </c:extLst>
        </c:ser>
        <c:dLbls>
          <c:showLegendKey val="0"/>
          <c:showVal val="0"/>
          <c:showCatName val="0"/>
          <c:showSerName val="0"/>
          <c:showPercent val="0"/>
          <c:showBubbleSize val="0"/>
        </c:dLbls>
        <c:smooth val="0"/>
        <c:axId val="1570901503"/>
        <c:axId val="1570911807"/>
      </c:lineChart>
      <c:catAx>
        <c:axId val="157090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11807"/>
        <c:crosses val="autoZero"/>
        <c:auto val="1"/>
        <c:lblAlgn val="ctr"/>
        <c:lblOffset val="100"/>
        <c:noMultiLvlLbl val="0"/>
      </c:catAx>
      <c:valAx>
        <c:axId val="1570911807"/>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01503"/>
        <c:crosses val="autoZero"/>
        <c:crossBetween val="between"/>
        <c:majorUnit val="0.2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IT"/>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Utente 10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T"/>
        </a:p>
      </c:txPr>
    </c:title>
    <c:autoTitleDeleted val="0"/>
    <c:plotArea>
      <c:layout/>
      <c:lineChart>
        <c:grouping val="standard"/>
        <c:varyColors val="0"/>
        <c:ser>
          <c:idx val="0"/>
          <c:order val="0"/>
          <c:tx>
            <c:v>Analisi Statistica</c:v>
          </c:tx>
          <c:spPr>
            <a:ln w="28575" cap="rnd">
              <a:solidFill>
                <a:schemeClr val="accent2"/>
              </a:solidFill>
              <a:round/>
            </a:ln>
            <a:effectLst/>
          </c:spPr>
          <c:marker>
            <c:symbol val="none"/>
          </c:marker>
          <c:val>
            <c:numRef>
              <c:f>'first_round_of_test (soglie)'!$K$147:$K$162</c:f>
              <c:numCache>
                <c:formatCode>General</c:formatCode>
                <c:ptCount val="16"/>
                <c:pt idx="0">
                  <c:v>1</c:v>
                </c:pt>
                <c:pt idx="1">
                  <c:v>0.4</c:v>
                </c:pt>
                <c:pt idx="2">
                  <c:v>0.5</c:v>
                </c:pt>
                <c:pt idx="3">
                  <c:v>0.6</c:v>
                </c:pt>
                <c:pt idx="4">
                  <c:v>0.5</c:v>
                </c:pt>
                <c:pt idx="5">
                  <c:v>1</c:v>
                </c:pt>
                <c:pt idx="6">
                  <c:v>0.5</c:v>
                </c:pt>
                <c:pt idx="7">
                  <c:v>0.8</c:v>
                </c:pt>
                <c:pt idx="8">
                  <c:v>0.5</c:v>
                </c:pt>
                <c:pt idx="9">
                  <c:v>0.8</c:v>
                </c:pt>
                <c:pt idx="10">
                  <c:v>0.6</c:v>
                </c:pt>
                <c:pt idx="11">
                  <c:v>0.5</c:v>
                </c:pt>
                <c:pt idx="12">
                  <c:v>0.6</c:v>
                </c:pt>
                <c:pt idx="13">
                  <c:v>0.5</c:v>
                </c:pt>
                <c:pt idx="14">
                  <c:v>0.8</c:v>
                </c:pt>
                <c:pt idx="15">
                  <c:v>0.25</c:v>
                </c:pt>
              </c:numCache>
            </c:numRef>
          </c:val>
          <c:smooth val="0"/>
          <c:extLst>
            <c:ext xmlns:c16="http://schemas.microsoft.com/office/drawing/2014/chart" uri="{C3380CC4-5D6E-409C-BE32-E72D297353CC}">
              <c16:uniqueId val="{00000000-B024-D442-87BA-399763B157A4}"/>
            </c:ext>
          </c:extLst>
        </c:ser>
        <c:ser>
          <c:idx val="2"/>
          <c:order val="1"/>
          <c:tx>
            <c:v>Risposte Gemini</c:v>
          </c:tx>
          <c:spPr>
            <a:ln w="28575" cap="rnd">
              <a:solidFill>
                <a:schemeClr val="accent6"/>
              </a:solidFill>
              <a:round/>
            </a:ln>
            <a:effectLst/>
          </c:spPr>
          <c:marker>
            <c:symbol val="none"/>
          </c:marker>
          <c:val>
            <c:numRef>
              <c:f>'first_round_of_test (Sara)'!$K$147:$K$162</c:f>
              <c:numCache>
                <c:formatCode>General</c:formatCode>
                <c:ptCount val="6"/>
                <c:pt idx="0">
                  <c:v>0.5</c:v>
                </c:pt>
                <c:pt idx="1">
                  <c:v>0.5</c:v>
                </c:pt>
                <c:pt idx="2">
                  <c:v>0.5</c:v>
                </c:pt>
                <c:pt idx="3">
                  <c:v>0.5</c:v>
                </c:pt>
                <c:pt idx="4">
                  <c:v>0.8</c:v>
                </c:pt>
                <c:pt idx="5">
                  <c:v>0.5</c:v>
                </c:pt>
              </c:numCache>
            </c:numRef>
          </c:val>
          <c:smooth val="0"/>
          <c:extLst>
            <c:ext xmlns:c16="http://schemas.microsoft.com/office/drawing/2014/chart" uri="{C3380CC4-5D6E-409C-BE32-E72D297353CC}">
              <c16:uniqueId val="{00000001-B024-D442-87BA-399763B157A4}"/>
            </c:ext>
          </c:extLst>
        </c:ser>
        <c:dLbls>
          <c:showLegendKey val="0"/>
          <c:showVal val="0"/>
          <c:showCatName val="0"/>
          <c:showSerName val="0"/>
          <c:showPercent val="0"/>
          <c:showBubbleSize val="0"/>
        </c:dLbls>
        <c:smooth val="0"/>
        <c:axId val="1570901503"/>
        <c:axId val="1570911807"/>
      </c:lineChart>
      <c:catAx>
        <c:axId val="157090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11807"/>
        <c:crosses val="autoZero"/>
        <c:auto val="1"/>
        <c:lblAlgn val="ctr"/>
        <c:lblOffset val="100"/>
        <c:noMultiLvlLbl val="0"/>
      </c:catAx>
      <c:valAx>
        <c:axId val="1570911807"/>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570901503"/>
        <c:crosses val="autoZero"/>
        <c:crossBetween val="between"/>
        <c:majorUnit val="0.2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I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chart" Target="../charts/chart16.xml"/><Relationship Id="rId3" Type="http://schemas.openxmlformats.org/officeDocument/2006/relationships/chart" Target="../charts/chart6.xml"/><Relationship Id="rId7" Type="http://schemas.openxmlformats.org/officeDocument/2006/relationships/chart" Target="../charts/chart10.xml"/><Relationship Id="rId12" Type="http://schemas.openxmlformats.org/officeDocument/2006/relationships/chart" Target="../charts/chart15.xml"/><Relationship Id="rId2" Type="http://schemas.openxmlformats.org/officeDocument/2006/relationships/chart" Target="../charts/chart5.xml"/><Relationship Id="rId16" Type="http://schemas.openxmlformats.org/officeDocument/2006/relationships/chart" Target="../charts/chart19.xml"/><Relationship Id="rId1" Type="http://schemas.openxmlformats.org/officeDocument/2006/relationships/chart" Target="../charts/chart4.xml"/><Relationship Id="rId6" Type="http://schemas.openxmlformats.org/officeDocument/2006/relationships/chart" Target="../charts/chart9.xml"/><Relationship Id="rId11" Type="http://schemas.openxmlformats.org/officeDocument/2006/relationships/chart" Target="../charts/chart14.xml"/><Relationship Id="rId5" Type="http://schemas.openxmlformats.org/officeDocument/2006/relationships/chart" Target="../charts/chart8.xml"/><Relationship Id="rId15" Type="http://schemas.openxmlformats.org/officeDocument/2006/relationships/chart" Target="../charts/chart18.xml"/><Relationship Id="rId10" Type="http://schemas.openxmlformats.org/officeDocument/2006/relationships/chart" Target="../charts/chart13.xml"/><Relationship Id="rId4" Type="http://schemas.openxmlformats.org/officeDocument/2006/relationships/chart" Target="../charts/chart7.xml"/><Relationship Id="rId9" Type="http://schemas.openxmlformats.org/officeDocument/2006/relationships/chart" Target="../charts/chart12.xml"/><Relationship Id="rId14" Type="http://schemas.openxmlformats.org/officeDocument/2006/relationships/chart" Target="../charts/chart17.xml"/></Relationships>
</file>

<file path=xl/drawings/_rels/drawing3.xml.rels><?xml version="1.0" encoding="UTF-8" standalone="yes"?>
<Relationships xmlns="http://schemas.openxmlformats.org/package/2006/relationships"><Relationship Id="rId8" Type="http://schemas.openxmlformats.org/officeDocument/2006/relationships/chart" Target="../charts/chart27.xml"/><Relationship Id="rId13" Type="http://schemas.openxmlformats.org/officeDocument/2006/relationships/chart" Target="../charts/chart32.xml"/><Relationship Id="rId18" Type="http://schemas.openxmlformats.org/officeDocument/2006/relationships/chart" Target="../charts/chart37.xml"/><Relationship Id="rId3" Type="http://schemas.openxmlformats.org/officeDocument/2006/relationships/chart" Target="../charts/chart22.xml"/><Relationship Id="rId21" Type="http://schemas.openxmlformats.org/officeDocument/2006/relationships/chart" Target="../charts/chart40.xml"/><Relationship Id="rId7" Type="http://schemas.openxmlformats.org/officeDocument/2006/relationships/chart" Target="../charts/chart26.xml"/><Relationship Id="rId12" Type="http://schemas.openxmlformats.org/officeDocument/2006/relationships/chart" Target="../charts/chart31.xml"/><Relationship Id="rId17" Type="http://schemas.openxmlformats.org/officeDocument/2006/relationships/chart" Target="../charts/chart36.xml"/><Relationship Id="rId2" Type="http://schemas.openxmlformats.org/officeDocument/2006/relationships/chart" Target="../charts/chart21.xml"/><Relationship Id="rId16" Type="http://schemas.openxmlformats.org/officeDocument/2006/relationships/chart" Target="../charts/chart35.xml"/><Relationship Id="rId20" Type="http://schemas.openxmlformats.org/officeDocument/2006/relationships/chart" Target="../charts/chart39.xml"/><Relationship Id="rId1" Type="http://schemas.openxmlformats.org/officeDocument/2006/relationships/chart" Target="../charts/chart20.xml"/><Relationship Id="rId6" Type="http://schemas.openxmlformats.org/officeDocument/2006/relationships/chart" Target="../charts/chart25.xml"/><Relationship Id="rId11" Type="http://schemas.openxmlformats.org/officeDocument/2006/relationships/chart" Target="../charts/chart30.xml"/><Relationship Id="rId5" Type="http://schemas.openxmlformats.org/officeDocument/2006/relationships/chart" Target="../charts/chart24.xml"/><Relationship Id="rId15" Type="http://schemas.openxmlformats.org/officeDocument/2006/relationships/chart" Target="../charts/chart34.xml"/><Relationship Id="rId23" Type="http://schemas.openxmlformats.org/officeDocument/2006/relationships/chart" Target="../charts/chart42.xml"/><Relationship Id="rId10" Type="http://schemas.openxmlformats.org/officeDocument/2006/relationships/chart" Target="../charts/chart29.xml"/><Relationship Id="rId19" Type="http://schemas.openxmlformats.org/officeDocument/2006/relationships/chart" Target="../charts/chart38.xml"/><Relationship Id="rId4" Type="http://schemas.openxmlformats.org/officeDocument/2006/relationships/chart" Target="../charts/chart23.xml"/><Relationship Id="rId9" Type="http://schemas.openxmlformats.org/officeDocument/2006/relationships/chart" Target="../charts/chart28.xml"/><Relationship Id="rId14" Type="http://schemas.openxmlformats.org/officeDocument/2006/relationships/chart" Target="../charts/chart33.xml"/><Relationship Id="rId22" Type="http://schemas.openxmlformats.org/officeDocument/2006/relationships/chart" Target="../charts/chart41.xml"/></Relationships>
</file>

<file path=xl/drawings/drawing1.xml><?xml version="1.0" encoding="utf-8"?>
<xdr:wsDr xmlns:xdr="http://schemas.openxmlformats.org/drawingml/2006/spreadsheetDrawing" xmlns:a="http://schemas.openxmlformats.org/drawingml/2006/main">
  <xdr:twoCellAnchor>
    <xdr:from>
      <xdr:col>17</xdr:col>
      <xdr:colOff>189966</xdr:colOff>
      <xdr:row>3</xdr:row>
      <xdr:rowOff>85166</xdr:rowOff>
    </xdr:from>
    <xdr:to>
      <xdr:col>22</xdr:col>
      <xdr:colOff>653142</xdr:colOff>
      <xdr:row>16</xdr:row>
      <xdr:rowOff>192315</xdr:rowOff>
    </xdr:to>
    <xdr:graphicFrame macro="">
      <xdr:nvGraphicFramePr>
        <xdr:cNvPr id="3" name="Chart 2">
          <a:extLst>
            <a:ext uri="{FF2B5EF4-FFF2-40B4-BE49-F238E27FC236}">
              <a16:creationId xmlns:a16="http://schemas.microsoft.com/office/drawing/2014/main" id="{3D7F51B2-F87F-CD9A-64C0-BA636D1EC3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216828</xdr:colOff>
      <xdr:row>19</xdr:row>
      <xdr:rowOff>77439</xdr:rowOff>
    </xdr:from>
    <xdr:to>
      <xdr:col>22</xdr:col>
      <xdr:colOff>680004</xdr:colOff>
      <xdr:row>32</xdr:row>
      <xdr:rowOff>184588</xdr:rowOff>
    </xdr:to>
    <xdr:graphicFrame macro="">
      <xdr:nvGraphicFramePr>
        <xdr:cNvPr id="2" name="Chart 1">
          <a:extLst>
            <a:ext uri="{FF2B5EF4-FFF2-40B4-BE49-F238E27FC236}">
              <a16:creationId xmlns:a16="http://schemas.microsoft.com/office/drawing/2014/main" id="{45CC8D94-FDB8-5F46-AABE-31E000BCC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440267</xdr:colOff>
      <xdr:row>36</xdr:row>
      <xdr:rowOff>0</xdr:rowOff>
    </xdr:from>
    <xdr:to>
      <xdr:col>23</xdr:col>
      <xdr:colOff>56776</xdr:colOff>
      <xdr:row>49</xdr:row>
      <xdr:rowOff>107149</xdr:rowOff>
    </xdr:to>
    <xdr:graphicFrame macro="">
      <xdr:nvGraphicFramePr>
        <xdr:cNvPr id="4" name="Chart 3">
          <a:extLst>
            <a:ext uri="{FF2B5EF4-FFF2-40B4-BE49-F238E27FC236}">
              <a16:creationId xmlns:a16="http://schemas.microsoft.com/office/drawing/2014/main" id="{96ED1D40-53ED-E745-B214-F02CDE0FEE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26</xdr:col>
      <xdr:colOff>567569</xdr:colOff>
      <xdr:row>16</xdr:row>
      <xdr:rowOff>182200</xdr:rowOff>
    </xdr:from>
    <xdr:to>
      <xdr:col>32</xdr:col>
      <xdr:colOff>192139</xdr:colOff>
      <xdr:row>30</xdr:row>
      <xdr:rowOff>95271</xdr:rowOff>
    </xdr:to>
    <xdr:graphicFrame macro="">
      <xdr:nvGraphicFramePr>
        <xdr:cNvPr id="145" name="Chart 2">
          <a:extLst>
            <a:ext uri="{FF2B5EF4-FFF2-40B4-BE49-F238E27FC236}">
              <a16:creationId xmlns:a16="http://schemas.microsoft.com/office/drawing/2014/main" id="{2F6BB9CD-D6D1-45A2-81F2-8E11C103A2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578878</xdr:colOff>
      <xdr:row>31</xdr:row>
      <xdr:rowOff>86737</xdr:rowOff>
    </xdr:from>
    <xdr:to>
      <xdr:col>32</xdr:col>
      <xdr:colOff>207258</xdr:colOff>
      <xdr:row>44</xdr:row>
      <xdr:rowOff>186050</xdr:rowOff>
    </xdr:to>
    <xdr:graphicFrame macro="">
      <xdr:nvGraphicFramePr>
        <xdr:cNvPr id="143" name="Chart 2">
          <a:extLst>
            <a:ext uri="{FF2B5EF4-FFF2-40B4-BE49-F238E27FC236}">
              <a16:creationId xmlns:a16="http://schemas.microsoft.com/office/drawing/2014/main" id="{D94831D4-3E96-744E-B11D-42D37968A7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32</xdr:col>
      <xdr:colOff>638735</xdr:colOff>
      <xdr:row>16</xdr:row>
      <xdr:rowOff>67236</xdr:rowOff>
    </xdr:from>
    <xdr:to>
      <xdr:col>38</xdr:col>
      <xdr:colOff>273339</xdr:colOff>
      <xdr:row>29</xdr:row>
      <xdr:rowOff>182224</xdr:rowOff>
    </xdr:to>
    <xdr:graphicFrame macro="">
      <xdr:nvGraphicFramePr>
        <xdr:cNvPr id="144" name="Chart 2">
          <a:extLst>
            <a:ext uri="{FF2B5EF4-FFF2-40B4-BE49-F238E27FC236}">
              <a16:creationId xmlns:a16="http://schemas.microsoft.com/office/drawing/2014/main" id="{0C269976-2E7D-D544-86CF-C90D7C644DDF}"/>
            </a:ext>
            <a:ext uri="{147F2762-F138-4A5C-976F-8EAC2B608ADB}">
              <a16:predDERef xmlns:a16="http://schemas.microsoft.com/office/drawing/2014/main" pred="{D94831D4-3E96-744E-B11D-42D37968A7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32</xdr:col>
      <xdr:colOff>484241</xdr:colOff>
      <xdr:row>31</xdr:row>
      <xdr:rowOff>128258</xdr:rowOff>
    </xdr:from>
    <xdr:to>
      <xdr:col>38</xdr:col>
      <xdr:colOff>122655</xdr:colOff>
      <xdr:row>45</xdr:row>
      <xdr:rowOff>40454</xdr:rowOff>
    </xdr:to>
    <xdr:graphicFrame macro="">
      <xdr:nvGraphicFramePr>
        <xdr:cNvPr id="142" name="Chart 2">
          <a:extLst>
            <a:ext uri="{FF2B5EF4-FFF2-40B4-BE49-F238E27FC236}">
              <a16:creationId xmlns:a16="http://schemas.microsoft.com/office/drawing/2014/main" id="{55D5BBBF-51EA-C942-8621-53D94AE498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584274</xdr:colOff>
      <xdr:row>46</xdr:row>
      <xdr:rowOff>85401</xdr:rowOff>
    </xdr:from>
    <xdr:to>
      <xdr:col>32</xdr:col>
      <xdr:colOff>206939</xdr:colOff>
      <xdr:row>59</xdr:row>
      <xdr:rowOff>188525</xdr:rowOff>
    </xdr:to>
    <xdr:graphicFrame macro="">
      <xdr:nvGraphicFramePr>
        <xdr:cNvPr id="140" name="Chart 5">
          <a:extLst>
            <a:ext uri="{FF2B5EF4-FFF2-40B4-BE49-F238E27FC236}">
              <a16:creationId xmlns:a16="http://schemas.microsoft.com/office/drawing/2014/main" id="{E3F55AE0-60EF-8B4E-B4F4-5FEFC9AFEF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32</xdr:col>
      <xdr:colOff>524772</xdr:colOff>
      <xdr:row>46</xdr:row>
      <xdr:rowOff>56029</xdr:rowOff>
    </xdr:from>
    <xdr:to>
      <xdr:col>38</xdr:col>
      <xdr:colOff>163186</xdr:colOff>
      <xdr:row>59</xdr:row>
      <xdr:rowOff>169521</xdr:rowOff>
    </xdr:to>
    <xdr:graphicFrame macro="">
      <xdr:nvGraphicFramePr>
        <xdr:cNvPr id="139" name="Chart 2">
          <a:extLst>
            <a:ext uri="{FF2B5EF4-FFF2-40B4-BE49-F238E27FC236}">
              <a16:creationId xmlns:a16="http://schemas.microsoft.com/office/drawing/2014/main" id="{0E3BFAF4-BFEF-F142-9808-714F02B4AF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38</xdr:col>
      <xdr:colOff>783429</xdr:colOff>
      <xdr:row>44</xdr:row>
      <xdr:rowOff>171024</xdr:rowOff>
    </xdr:from>
    <xdr:to>
      <xdr:col>44</xdr:col>
      <xdr:colOff>432074</xdr:colOff>
      <xdr:row>58</xdr:row>
      <xdr:rowOff>88117</xdr:rowOff>
    </xdr:to>
    <xdr:graphicFrame macro="">
      <xdr:nvGraphicFramePr>
        <xdr:cNvPr id="167" name="Chart 2">
          <a:extLst>
            <a:ext uri="{FF2B5EF4-FFF2-40B4-BE49-F238E27FC236}">
              <a16:creationId xmlns:a16="http://schemas.microsoft.com/office/drawing/2014/main" id="{6C265D9A-3378-4879-A34D-EE3AAEF41836}"/>
            </a:ext>
            <a:ext uri="{147F2762-F138-4A5C-976F-8EAC2B608ADB}">
              <a16:predDERef xmlns:a16="http://schemas.microsoft.com/office/drawing/2014/main" pred="{D94831D4-3E96-744E-B11D-42D37968A7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44</xdr:col>
      <xdr:colOff>808181</xdr:colOff>
      <xdr:row>29</xdr:row>
      <xdr:rowOff>172542</xdr:rowOff>
    </xdr:from>
    <xdr:to>
      <xdr:col>50</xdr:col>
      <xdr:colOff>206261</xdr:colOff>
      <xdr:row>43</xdr:row>
      <xdr:rowOff>83579</xdr:rowOff>
    </xdr:to>
    <xdr:graphicFrame macro="">
      <xdr:nvGraphicFramePr>
        <xdr:cNvPr id="166" name="Chart 2">
          <a:extLst>
            <a:ext uri="{FF2B5EF4-FFF2-40B4-BE49-F238E27FC236}">
              <a16:creationId xmlns:a16="http://schemas.microsoft.com/office/drawing/2014/main" id="{E62CA0B7-2954-428D-B13E-B723BE712B48}"/>
            </a:ext>
            <a:ext uri="{147F2762-F138-4A5C-976F-8EAC2B608ADB}">
              <a16:predDERef xmlns:a16="http://schemas.microsoft.com/office/drawing/2014/main" pred="{D94831D4-3E96-744E-B11D-42D37968A7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38</xdr:col>
      <xdr:colOff>760301</xdr:colOff>
      <xdr:row>29</xdr:row>
      <xdr:rowOff>143034</xdr:rowOff>
    </xdr:from>
    <xdr:to>
      <xdr:col>44</xdr:col>
      <xdr:colOff>408946</xdr:colOff>
      <xdr:row>43</xdr:row>
      <xdr:rowOff>46791</xdr:rowOff>
    </xdr:to>
    <xdr:graphicFrame macro="">
      <xdr:nvGraphicFramePr>
        <xdr:cNvPr id="165" name="Chart 2">
          <a:extLst>
            <a:ext uri="{FF2B5EF4-FFF2-40B4-BE49-F238E27FC236}">
              <a16:creationId xmlns:a16="http://schemas.microsoft.com/office/drawing/2014/main" id="{E8B58BA8-9CDF-46A3-A481-AF5AE2588407}"/>
            </a:ext>
            <a:ext uri="{147F2762-F138-4A5C-976F-8EAC2B608ADB}">
              <a16:predDERef xmlns:a16="http://schemas.microsoft.com/office/drawing/2014/main" pred="{D94831D4-3E96-744E-B11D-42D37968A7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50</xdr:col>
      <xdr:colOff>388658</xdr:colOff>
      <xdr:row>23</xdr:row>
      <xdr:rowOff>86591</xdr:rowOff>
    </xdr:from>
    <xdr:to>
      <xdr:col>50</xdr:col>
      <xdr:colOff>638810</xdr:colOff>
      <xdr:row>26</xdr:row>
      <xdr:rowOff>161655</xdr:rowOff>
    </xdr:to>
    <xdr:sp macro="" textlink="">
      <xdr:nvSpPr>
        <xdr:cNvPr id="149" name="Freccia in su 6">
          <a:extLst>
            <a:ext uri="{FF2B5EF4-FFF2-40B4-BE49-F238E27FC236}">
              <a16:creationId xmlns:a16="http://schemas.microsoft.com/office/drawing/2014/main" id="{7E48F052-8078-BAFE-CDA9-4F14B81BF158}"/>
            </a:ext>
          </a:extLst>
        </xdr:cNvPr>
        <xdr:cNvSpPr/>
      </xdr:nvSpPr>
      <xdr:spPr>
        <a:xfrm>
          <a:off x="44790552" y="4733636"/>
          <a:ext cx="250152" cy="681201"/>
        </a:xfrm>
        <a:prstGeom prst="up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CH" sz="1100"/>
        </a:p>
      </xdr:txBody>
    </xdr:sp>
    <xdr:clientData/>
  </xdr:twoCellAnchor>
  <xdr:twoCellAnchor>
    <xdr:from>
      <xdr:col>40</xdr:col>
      <xdr:colOff>113503</xdr:colOff>
      <xdr:row>2</xdr:row>
      <xdr:rowOff>190472</xdr:rowOff>
    </xdr:from>
    <xdr:to>
      <xdr:col>40</xdr:col>
      <xdr:colOff>798514</xdr:colOff>
      <xdr:row>4</xdr:row>
      <xdr:rowOff>27008</xdr:rowOff>
    </xdr:to>
    <xdr:sp macro="" textlink="">
      <xdr:nvSpPr>
        <xdr:cNvPr id="156" name="Freccia in su 7">
          <a:extLst>
            <a:ext uri="{FF2B5EF4-FFF2-40B4-BE49-F238E27FC236}">
              <a16:creationId xmlns:a16="http://schemas.microsoft.com/office/drawing/2014/main" id="{DFF59012-F444-44F5-A93F-67EC0B068396}"/>
            </a:ext>
          </a:extLst>
        </xdr:cNvPr>
        <xdr:cNvSpPr/>
      </xdr:nvSpPr>
      <xdr:spPr>
        <a:xfrm rot="16200000">
          <a:off x="36116983" y="372371"/>
          <a:ext cx="240627" cy="685011"/>
        </a:xfrm>
        <a:prstGeom prst="up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CH" sz="1100"/>
        </a:p>
      </xdr:txBody>
    </xdr:sp>
    <xdr:clientData/>
  </xdr:twoCellAnchor>
  <xdr:twoCellAnchor>
    <xdr:from>
      <xdr:col>40</xdr:col>
      <xdr:colOff>83100</xdr:colOff>
      <xdr:row>9</xdr:row>
      <xdr:rowOff>181217</xdr:rowOff>
    </xdr:from>
    <xdr:to>
      <xdr:col>40</xdr:col>
      <xdr:colOff>768111</xdr:colOff>
      <xdr:row>11</xdr:row>
      <xdr:rowOff>15848</xdr:rowOff>
    </xdr:to>
    <xdr:sp macro="" textlink="">
      <xdr:nvSpPr>
        <xdr:cNvPr id="157" name="Freccia in su 9">
          <a:extLst>
            <a:ext uri="{FF2B5EF4-FFF2-40B4-BE49-F238E27FC236}">
              <a16:creationId xmlns:a16="http://schemas.microsoft.com/office/drawing/2014/main" id="{2D160F01-1FB0-4166-BF90-14DCEA66ECBD}"/>
            </a:ext>
          </a:extLst>
        </xdr:cNvPr>
        <xdr:cNvSpPr/>
      </xdr:nvSpPr>
      <xdr:spPr>
        <a:xfrm rot="16200000">
          <a:off x="36087533" y="1776481"/>
          <a:ext cx="238722" cy="685011"/>
        </a:xfrm>
        <a:prstGeom prst="up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CH" sz="1100"/>
        </a:p>
      </xdr:txBody>
    </xdr:sp>
    <xdr:clientData/>
  </xdr:twoCellAnchor>
  <xdr:twoCellAnchor>
    <xdr:from>
      <xdr:col>26</xdr:col>
      <xdr:colOff>544286</xdr:colOff>
      <xdr:row>62</xdr:row>
      <xdr:rowOff>21344</xdr:rowOff>
    </xdr:from>
    <xdr:to>
      <xdr:col>32</xdr:col>
      <xdr:colOff>166951</xdr:colOff>
      <xdr:row>75</xdr:row>
      <xdr:rowOff>124468</xdr:rowOff>
    </xdr:to>
    <xdr:graphicFrame macro="">
      <xdr:nvGraphicFramePr>
        <xdr:cNvPr id="168" name="Chart 5">
          <a:extLst>
            <a:ext uri="{FF2B5EF4-FFF2-40B4-BE49-F238E27FC236}">
              <a16:creationId xmlns:a16="http://schemas.microsoft.com/office/drawing/2014/main" id="{BE2ABF87-6B87-D044-AA04-02E0CC3F4C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26</xdr:col>
      <xdr:colOff>542073</xdr:colOff>
      <xdr:row>79</xdr:row>
      <xdr:rowOff>46463</xdr:rowOff>
    </xdr:from>
    <xdr:to>
      <xdr:col>32</xdr:col>
      <xdr:colOff>164738</xdr:colOff>
      <xdr:row>92</xdr:row>
      <xdr:rowOff>149586</xdr:rowOff>
    </xdr:to>
    <xdr:graphicFrame macro="">
      <xdr:nvGraphicFramePr>
        <xdr:cNvPr id="169" name="Chart 5">
          <a:extLst>
            <a:ext uri="{FF2B5EF4-FFF2-40B4-BE49-F238E27FC236}">
              <a16:creationId xmlns:a16="http://schemas.microsoft.com/office/drawing/2014/main" id="{CC89A5C9-3330-6443-A445-46A3866072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26</xdr:col>
      <xdr:colOff>573049</xdr:colOff>
      <xdr:row>95</xdr:row>
      <xdr:rowOff>30975</xdr:rowOff>
    </xdr:from>
    <xdr:to>
      <xdr:col>32</xdr:col>
      <xdr:colOff>195714</xdr:colOff>
      <xdr:row>108</xdr:row>
      <xdr:rowOff>134099</xdr:rowOff>
    </xdr:to>
    <xdr:graphicFrame macro="">
      <xdr:nvGraphicFramePr>
        <xdr:cNvPr id="170" name="Chart 5">
          <a:extLst>
            <a:ext uri="{FF2B5EF4-FFF2-40B4-BE49-F238E27FC236}">
              <a16:creationId xmlns:a16="http://schemas.microsoft.com/office/drawing/2014/main" id="{86A29ED3-73D4-304D-AB95-6CB4C4F4B5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26</xdr:col>
      <xdr:colOff>650488</xdr:colOff>
      <xdr:row>110</xdr:row>
      <xdr:rowOff>61952</xdr:rowOff>
    </xdr:from>
    <xdr:to>
      <xdr:col>32</xdr:col>
      <xdr:colOff>273153</xdr:colOff>
      <xdr:row>123</xdr:row>
      <xdr:rowOff>165075</xdr:rowOff>
    </xdr:to>
    <xdr:graphicFrame macro="">
      <xdr:nvGraphicFramePr>
        <xdr:cNvPr id="171" name="Chart 5">
          <a:extLst>
            <a:ext uri="{FF2B5EF4-FFF2-40B4-BE49-F238E27FC236}">
              <a16:creationId xmlns:a16="http://schemas.microsoft.com/office/drawing/2014/main" id="{CF8E4C25-7BC8-DF4B-A834-0C2E9C7F8E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26</xdr:col>
      <xdr:colOff>650487</xdr:colOff>
      <xdr:row>124</xdr:row>
      <xdr:rowOff>170366</xdr:rowOff>
    </xdr:from>
    <xdr:to>
      <xdr:col>32</xdr:col>
      <xdr:colOff>273152</xdr:colOff>
      <xdr:row>138</xdr:row>
      <xdr:rowOff>87636</xdr:rowOff>
    </xdr:to>
    <xdr:graphicFrame macro="">
      <xdr:nvGraphicFramePr>
        <xdr:cNvPr id="172" name="Chart 5">
          <a:extLst>
            <a:ext uri="{FF2B5EF4-FFF2-40B4-BE49-F238E27FC236}">
              <a16:creationId xmlns:a16="http://schemas.microsoft.com/office/drawing/2014/main" id="{90C0F236-9D91-C840-AE62-12CBE56B9D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26</xdr:col>
      <xdr:colOff>681463</xdr:colOff>
      <xdr:row>139</xdr:row>
      <xdr:rowOff>92926</xdr:rowOff>
    </xdr:from>
    <xdr:to>
      <xdr:col>32</xdr:col>
      <xdr:colOff>304128</xdr:colOff>
      <xdr:row>153</xdr:row>
      <xdr:rowOff>10196</xdr:rowOff>
    </xdr:to>
    <xdr:graphicFrame macro="">
      <xdr:nvGraphicFramePr>
        <xdr:cNvPr id="173" name="Chart 5">
          <a:extLst>
            <a:ext uri="{FF2B5EF4-FFF2-40B4-BE49-F238E27FC236}">
              <a16:creationId xmlns:a16="http://schemas.microsoft.com/office/drawing/2014/main" id="{6F83D710-796C-1644-8C4B-A80C9BF741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26</xdr:col>
      <xdr:colOff>681463</xdr:colOff>
      <xdr:row>153</xdr:row>
      <xdr:rowOff>170366</xdr:rowOff>
    </xdr:from>
    <xdr:to>
      <xdr:col>32</xdr:col>
      <xdr:colOff>304128</xdr:colOff>
      <xdr:row>167</xdr:row>
      <xdr:rowOff>56660</xdr:rowOff>
    </xdr:to>
    <xdr:graphicFrame macro="">
      <xdr:nvGraphicFramePr>
        <xdr:cNvPr id="174" name="Chart 5">
          <a:extLst>
            <a:ext uri="{FF2B5EF4-FFF2-40B4-BE49-F238E27FC236}">
              <a16:creationId xmlns:a16="http://schemas.microsoft.com/office/drawing/2014/main" id="{647231E0-C6E6-CE49-8B06-DBFF3EC0E5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26</xdr:col>
      <xdr:colOff>567569</xdr:colOff>
      <xdr:row>16</xdr:row>
      <xdr:rowOff>182200</xdr:rowOff>
    </xdr:from>
    <xdr:to>
      <xdr:col>32</xdr:col>
      <xdr:colOff>192139</xdr:colOff>
      <xdr:row>30</xdr:row>
      <xdr:rowOff>95271</xdr:rowOff>
    </xdr:to>
    <xdr:graphicFrame macro="">
      <xdr:nvGraphicFramePr>
        <xdr:cNvPr id="2" name="Chart 2">
          <a:extLst>
            <a:ext uri="{FF2B5EF4-FFF2-40B4-BE49-F238E27FC236}">
              <a16:creationId xmlns:a16="http://schemas.microsoft.com/office/drawing/2014/main" id="{71CCD4D9-A051-8547-B6E8-6B9C7EF3C3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578878</xdr:colOff>
      <xdr:row>31</xdr:row>
      <xdr:rowOff>86737</xdr:rowOff>
    </xdr:from>
    <xdr:to>
      <xdr:col>32</xdr:col>
      <xdr:colOff>207258</xdr:colOff>
      <xdr:row>44</xdr:row>
      <xdr:rowOff>186050</xdr:rowOff>
    </xdr:to>
    <xdr:graphicFrame macro="">
      <xdr:nvGraphicFramePr>
        <xdr:cNvPr id="3" name="Chart 2">
          <a:extLst>
            <a:ext uri="{FF2B5EF4-FFF2-40B4-BE49-F238E27FC236}">
              <a16:creationId xmlns:a16="http://schemas.microsoft.com/office/drawing/2014/main" id="{C5ACB176-37BB-B747-8238-7DC75BC94D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32</xdr:col>
      <xdr:colOff>638735</xdr:colOff>
      <xdr:row>16</xdr:row>
      <xdr:rowOff>67236</xdr:rowOff>
    </xdr:from>
    <xdr:to>
      <xdr:col>38</xdr:col>
      <xdr:colOff>273339</xdr:colOff>
      <xdr:row>29</xdr:row>
      <xdr:rowOff>182224</xdr:rowOff>
    </xdr:to>
    <xdr:graphicFrame macro="">
      <xdr:nvGraphicFramePr>
        <xdr:cNvPr id="4" name="Chart 2">
          <a:extLst>
            <a:ext uri="{FF2B5EF4-FFF2-40B4-BE49-F238E27FC236}">
              <a16:creationId xmlns:a16="http://schemas.microsoft.com/office/drawing/2014/main" id="{369FB99C-98B3-4146-B5C0-62450087B538}"/>
            </a:ext>
            <a:ext uri="{147F2762-F138-4A5C-976F-8EAC2B608ADB}">
              <a16:predDERef xmlns:a16="http://schemas.microsoft.com/office/drawing/2014/main" pred="{D94831D4-3E96-744E-B11D-42D37968A7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32</xdr:col>
      <xdr:colOff>484241</xdr:colOff>
      <xdr:row>31</xdr:row>
      <xdr:rowOff>128258</xdr:rowOff>
    </xdr:from>
    <xdr:to>
      <xdr:col>38</xdr:col>
      <xdr:colOff>122655</xdr:colOff>
      <xdr:row>45</xdr:row>
      <xdr:rowOff>40454</xdr:rowOff>
    </xdr:to>
    <xdr:graphicFrame macro="">
      <xdr:nvGraphicFramePr>
        <xdr:cNvPr id="5" name="Chart 2">
          <a:extLst>
            <a:ext uri="{FF2B5EF4-FFF2-40B4-BE49-F238E27FC236}">
              <a16:creationId xmlns:a16="http://schemas.microsoft.com/office/drawing/2014/main" id="{1BE4C83F-817F-824F-8643-CC1A97A192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584274</xdr:colOff>
      <xdr:row>46</xdr:row>
      <xdr:rowOff>85401</xdr:rowOff>
    </xdr:from>
    <xdr:to>
      <xdr:col>32</xdr:col>
      <xdr:colOff>206939</xdr:colOff>
      <xdr:row>59</xdr:row>
      <xdr:rowOff>188525</xdr:rowOff>
    </xdr:to>
    <xdr:graphicFrame macro="">
      <xdr:nvGraphicFramePr>
        <xdr:cNvPr id="6" name="Chart 5">
          <a:extLst>
            <a:ext uri="{FF2B5EF4-FFF2-40B4-BE49-F238E27FC236}">
              <a16:creationId xmlns:a16="http://schemas.microsoft.com/office/drawing/2014/main" id="{9E6FE164-36D5-B641-A66C-F46F933B75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32</xdr:col>
      <xdr:colOff>524772</xdr:colOff>
      <xdr:row>46</xdr:row>
      <xdr:rowOff>56029</xdr:rowOff>
    </xdr:from>
    <xdr:to>
      <xdr:col>38</xdr:col>
      <xdr:colOff>163186</xdr:colOff>
      <xdr:row>59</xdr:row>
      <xdr:rowOff>169521</xdr:rowOff>
    </xdr:to>
    <xdr:graphicFrame macro="">
      <xdr:nvGraphicFramePr>
        <xdr:cNvPr id="7" name="Chart 2">
          <a:extLst>
            <a:ext uri="{FF2B5EF4-FFF2-40B4-BE49-F238E27FC236}">
              <a16:creationId xmlns:a16="http://schemas.microsoft.com/office/drawing/2014/main" id="{E59B6DAC-2B72-C44A-9CC8-ED4BDA99A8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38</xdr:col>
      <xdr:colOff>783429</xdr:colOff>
      <xdr:row>44</xdr:row>
      <xdr:rowOff>171024</xdr:rowOff>
    </xdr:from>
    <xdr:to>
      <xdr:col>44</xdr:col>
      <xdr:colOff>432074</xdr:colOff>
      <xdr:row>58</xdr:row>
      <xdr:rowOff>88117</xdr:rowOff>
    </xdr:to>
    <xdr:graphicFrame macro="">
      <xdr:nvGraphicFramePr>
        <xdr:cNvPr id="8" name="Chart 2">
          <a:extLst>
            <a:ext uri="{FF2B5EF4-FFF2-40B4-BE49-F238E27FC236}">
              <a16:creationId xmlns:a16="http://schemas.microsoft.com/office/drawing/2014/main" id="{486903D6-A54F-CD4D-8F2E-734371E129DB}"/>
            </a:ext>
            <a:ext uri="{147F2762-F138-4A5C-976F-8EAC2B608ADB}">
              <a16:predDERef xmlns:a16="http://schemas.microsoft.com/office/drawing/2014/main" pred="{D94831D4-3E96-744E-B11D-42D37968A7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38</xdr:col>
      <xdr:colOff>700026</xdr:colOff>
      <xdr:row>13</xdr:row>
      <xdr:rowOff>70779</xdr:rowOff>
    </xdr:from>
    <xdr:to>
      <xdr:col>44</xdr:col>
      <xdr:colOff>326869</xdr:colOff>
      <xdr:row>27</xdr:row>
      <xdr:rowOff>43267</xdr:rowOff>
    </xdr:to>
    <xdr:graphicFrame macro="">
      <xdr:nvGraphicFramePr>
        <xdr:cNvPr id="9" name="Chart 2">
          <a:extLst>
            <a:ext uri="{FF2B5EF4-FFF2-40B4-BE49-F238E27FC236}">
              <a16:creationId xmlns:a16="http://schemas.microsoft.com/office/drawing/2014/main" id="{E7B2CFD5-C232-184F-8715-CD9D90FD3BFB}"/>
            </a:ext>
            <a:ext uri="{147F2762-F138-4A5C-976F-8EAC2B608ADB}">
              <a16:predDERef xmlns:a16="http://schemas.microsoft.com/office/drawing/2014/main" pred="{D94831D4-3E96-744E-B11D-42D37968A7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38</xdr:col>
      <xdr:colOff>760301</xdr:colOff>
      <xdr:row>29</xdr:row>
      <xdr:rowOff>143034</xdr:rowOff>
    </xdr:from>
    <xdr:to>
      <xdr:col>44</xdr:col>
      <xdr:colOff>408946</xdr:colOff>
      <xdr:row>43</xdr:row>
      <xdr:rowOff>46791</xdr:rowOff>
    </xdr:to>
    <xdr:graphicFrame macro="">
      <xdr:nvGraphicFramePr>
        <xdr:cNvPr id="10" name="Chart 2">
          <a:extLst>
            <a:ext uri="{FF2B5EF4-FFF2-40B4-BE49-F238E27FC236}">
              <a16:creationId xmlns:a16="http://schemas.microsoft.com/office/drawing/2014/main" id="{45A08BFC-4A23-6D49-A824-624E28BB98A6}"/>
            </a:ext>
            <a:ext uri="{147F2762-F138-4A5C-976F-8EAC2B608ADB}">
              <a16:predDERef xmlns:a16="http://schemas.microsoft.com/office/drawing/2014/main" pred="{D94831D4-3E96-744E-B11D-42D37968A7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50</xdr:col>
      <xdr:colOff>388658</xdr:colOff>
      <xdr:row>23</xdr:row>
      <xdr:rowOff>86591</xdr:rowOff>
    </xdr:from>
    <xdr:to>
      <xdr:col>50</xdr:col>
      <xdr:colOff>638810</xdr:colOff>
      <xdr:row>26</xdr:row>
      <xdr:rowOff>161655</xdr:rowOff>
    </xdr:to>
    <xdr:sp macro="" textlink="">
      <xdr:nvSpPr>
        <xdr:cNvPr id="11" name="Freccia in su 6">
          <a:extLst>
            <a:ext uri="{FF2B5EF4-FFF2-40B4-BE49-F238E27FC236}">
              <a16:creationId xmlns:a16="http://schemas.microsoft.com/office/drawing/2014/main" id="{B557B5C0-DA1C-9044-AA8B-DF91E3FD37F6}"/>
            </a:ext>
          </a:extLst>
        </xdr:cNvPr>
        <xdr:cNvSpPr/>
      </xdr:nvSpPr>
      <xdr:spPr>
        <a:xfrm>
          <a:off x="44406858" y="4722091"/>
          <a:ext cx="250152" cy="659264"/>
        </a:xfrm>
        <a:prstGeom prst="up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CH" sz="1100"/>
        </a:p>
      </xdr:txBody>
    </xdr:sp>
    <xdr:clientData/>
  </xdr:twoCellAnchor>
  <xdr:twoCellAnchor>
    <xdr:from>
      <xdr:col>40</xdr:col>
      <xdr:colOff>113503</xdr:colOff>
      <xdr:row>2</xdr:row>
      <xdr:rowOff>190472</xdr:rowOff>
    </xdr:from>
    <xdr:to>
      <xdr:col>40</xdr:col>
      <xdr:colOff>798514</xdr:colOff>
      <xdr:row>4</xdr:row>
      <xdr:rowOff>27008</xdr:rowOff>
    </xdr:to>
    <xdr:sp macro="" textlink="">
      <xdr:nvSpPr>
        <xdr:cNvPr id="12" name="Freccia in su 7">
          <a:extLst>
            <a:ext uri="{FF2B5EF4-FFF2-40B4-BE49-F238E27FC236}">
              <a16:creationId xmlns:a16="http://schemas.microsoft.com/office/drawing/2014/main" id="{B638CB89-0532-4E46-86A5-ABE27EEFB4EE}"/>
            </a:ext>
          </a:extLst>
        </xdr:cNvPr>
        <xdr:cNvSpPr/>
      </xdr:nvSpPr>
      <xdr:spPr>
        <a:xfrm rot="16200000">
          <a:off x="35742141" y="375834"/>
          <a:ext cx="242936" cy="685011"/>
        </a:xfrm>
        <a:prstGeom prst="up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CH" sz="1100"/>
        </a:p>
      </xdr:txBody>
    </xdr:sp>
    <xdr:clientData/>
  </xdr:twoCellAnchor>
  <xdr:twoCellAnchor>
    <xdr:from>
      <xdr:col>40</xdr:col>
      <xdr:colOff>83100</xdr:colOff>
      <xdr:row>9</xdr:row>
      <xdr:rowOff>181217</xdr:rowOff>
    </xdr:from>
    <xdr:to>
      <xdr:col>40</xdr:col>
      <xdr:colOff>768111</xdr:colOff>
      <xdr:row>11</xdr:row>
      <xdr:rowOff>15848</xdr:rowOff>
    </xdr:to>
    <xdr:sp macro="" textlink="">
      <xdr:nvSpPr>
        <xdr:cNvPr id="13" name="Freccia in su 9">
          <a:extLst>
            <a:ext uri="{FF2B5EF4-FFF2-40B4-BE49-F238E27FC236}">
              <a16:creationId xmlns:a16="http://schemas.microsoft.com/office/drawing/2014/main" id="{6C665400-7A0D-7F4D-84CA-E902840E4A27}"/>
            </a:ext>
          </a:extLst>
        </xdr:cNvPr>
        <xdr:cNvSpPr/>
      </xdr:nvSpPr>
      <xdr:spPr>
        <a:xfrm rot="16200000">
          <a:off x="35712690" y="1788027"/>
          <a:ext cx="241031" cy="685011"/>
        </a:xfrm>
        <a:prstGeom prst="up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CH" sz="1100"/>
        </a:p>
      </xdr:txBody>
    </xdr:sp>
    <xdr:clientData/>
  </xdr:twoCellAnchor>
  <xdr:twoCellAnchor>
    <xdr:from>
      <xdr:col>26</xdr:col>
      <xdr:colOff>544286</xdr:colOff>
      <xdr:row>62</xdr:row>
      <xdr:rowOff>21344</xdr:rowOff>
    </xdr:from>
    <xdr:to>
      <xdr:col>32</xdr:col>
      <xdr:colOff>166951</xdr:colOff>
      <xdr:row>75</xdr:row>
      <xdr:rowOff>124468</xdr:rowOff>
    </xdr:to>
    <xdr:graphicFrame macro="">
      <xdr:nvGraphicFramePr>
        <xdr:cNvPr id="14" name="Chart 5">
          <a:extLst>
            <a:ext uri="{FF2B5EF4-FFF2-40B4-BE49-F238E27FC236}">
              <a16:creationId xmlns:a16="http://schemas.microsoft.com/office/drawing/2014/main" id="{E5C10737-DDB5-5F47-B064-5184C0EF67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26</xdr:col>
      <xdr:colOff>542073</xdr:colOff>
      <xdr:row>79</xdr:row>
      <xdr:rowOff>46463</xdr:rowOff>
    </xdr:from>
    <xdr:to>
      <xdr:col>32</xdr:col>
      <xdr:colOff>164738</xdr:colOff>
      <xdr:row>92</xdr:row>
      <xdr:rowOff>149586</xdr:rowOff>
    </xdr:to>
    <xdr:graphicFrame macro="">
      <xdr:nvGraphicFramePr>
        <xdr:cNvPr id="15" name="Chart 5">
          <a:extLst>
            <a:ext uri="{FF2B5EF4-FFF2-40B4-BE49-F238E27FC236}">
              <a16:creationId xmlns:a16="http://schemas.microsoft.com/office/drawing/2014/main" id="{418A597B-83C3-F24A-AC01-B0B2C26873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26</xdr:col>
      <xdr:colOff>573049</xdr:colOff>
      <xdr:row>95</xdr:row>
      <xdr:rowOff>30975</xdr:rowOff>
    </xdr:from>
    <xdr:to>
      <xdr:col>32</xdr:col>
      <xdr:colOff>195714</xdr:colOff>
      <xdr:row>108</xdr:row>
      <xdr:rowOff>134099</xdr:rowOff>
    </xdr:to>
    <xdr:graphicFrame macro="">
      <xdr:nvGraphicFramePr>
        <xdr:cNvPr id="16" name="Chart 5">
          <a:extLst>
            <a:ext uri="{FF2B5EF4-FFF2-40B4-BE49-F238E27FC236}">
              <a16:creationId xmlns:a16="http://schemas.microsoft.com/office/drawing/2014/main" id="{1B41C994-CC92-1640-8E39-867C867E99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26</xdr:col>
      <xdr:colOff>650488</xdr:colOff>
      <xdr:row>110</xdr:row>
      <xdr:rowOff>61952</xdr:rowOff>
    </xdr:from>
    <xdr:to>
      <xdr:col>32</xdr:col>
      <xdr:colOff>273153</xdr:colOff>
      <xdr:row>123</xdr:row>
      <xdr:rowOff>165075</xdr:rowOff>
    </xdr:to>
    <xdr:graphicFrame macro="">
      <xdr:nvGraphicFramePr>
        <xdr:cNvPr id="17" name="Chart 5">
          <a:extLst>
            <a:ext uri="{FF2B5EF4-FFF2-40B4-BE49-F238E27FC236}">
              <a16:creationId xmlns:a16="http://schemas.microsoft.com/office/drawing/2014/main" id="{EE9F7B5A-F581-FA4E-88C5-ABCD3BCA1F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26</xdr:col>
      <xdr:colOff>650487</xdr:colOff>
      <xdr:row>124</xdr:row>
      <xdr:rowOff>170366</xdr:rowOff>
    </xdr:from>
    <xdr:to>
      <xdr:col>32</xdr:col>
      <xdr:colOff>273152</xdr:colOff>
      <xdr:row>138</xdr:row>
      <xdr:rowOff>87636</xdr:rowOff>
    </xdr:to>
    <xdr:graphicFrame macro="">
      <xdr:nvGraphicFramePr>
        <xdr:cNvPr id="18" name="Chart 5">
          <a:extLst>
            <a:ext uri="{FF2B5EF4-FFF2-40B4-BE49-F238E27FC236}">
              <a16:creationId xmlns:a16="http://schemas.microsoft.com/office/drawing/2014/main" id="{4A2287B3-DCC8-FF49-9483-57FEB436C6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26</xdr:col>
      <xdr:colOff>681463</xdr:colOff>
      <xdr:row>139</xdr:row>
      <xdr:rowOff>92926</xdr:rowOff>
    </xdr:from>
    <xdr:to>
      <xdr:col>32</xdr:col>
      <xdr:colOff>304128</xdr:colOff>
      <xdr:row>153</xdr:row>
      <xdr:rowOff>10196</xdr:rowOff>
    </xdr:to>
    <xdr:graphicFrame macro="">
      <xdr:nvGraphicFramePr>
        <xdr:cNvPr id="19" name="Chart 5">
          <a:extLst>
            <a:ext uri="{FF2B5EF4-FFF2-40B4-BE49-F238E27FC236}">
              <a16:creationId xmlns:a16="http://schemas.microsoft.com/office/drawing/2014/main" id="{869435D9-3E63-A347-A4DD-331E6B72B7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26</xdr:col>
      <xdr:colOff>681463</xdr:colOff>
      <xdr:row>153</xdr:row>
      <xdr:rowOff>170366</xdr:rowOff>
    </xdr:from>
    <xdr:to>
      <xdr:col>32</xdr:col>
      <xdr:colOff>304128</xdr:colOff>
      <xdr:row>167</xdr:row>
      <xdr:rowOff>56660</xdr:rowOff>
    </xdr:to>
    <xdr:graphicFrame macro="">
      <xdr:nvGraphicFramePr>
        <xdr:cNvPr id="20" name="Chart 5">
          <a:extLst>
            <a:ext uri="{FF2B5EF4-FFF2-40B4-BE49-F238E27FC236}">
              <a16:creationId xmlns:a16="http://schemas.microsoft.com/office/drawing/2014/main" id="{526D4BE3-A230-7142-8890-A1BB3E35DE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32</xdr:col>
      <xdr:colOff>682387</xdr:colOff>
      <xdr:row>62</xdr:row>
      <xdr:rowOff>56866</xdr:rowOff>
    </xdr:from>
    <xdr:to>
      <xdr:col>38</xdr:col>
      <xdr:colOff>320801</xdr:colOff>
      <xdr:row>75</xdr:row>
      <xdr:rowOff>170358</xdr:rowOff>
    </xdr:to>
    <xdr:graphicFrame macro="">
      <xdr:nvGraphicFramePr>
        <xdr:cNvPr id="21" name="Chart 2">
          <a:extLst>
            <a:ext uri="{FF2B5EF4-FFF2-40B4-BE49-F238E27FC236}">
              <a16:creationId xmlns:a16="http://schemas.microsoft.com/office/drawing/2014/main" id="{C1D9D373-B12E-B44D-9548-1E739A8A8D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33</xdr:col>
      <xdr:colOff>0</xdr:colOff>
      <xdr:row>79</xdr:row>
      <xdr:rowOff>0</xdr:rowOff>
    </xdr:from>
    <xdr:to>
      <xdr:col>38</xdr:col>
      <xdr:colOff>603614</xdr:colOff>
      <xdr:row>92</xdr:row>
      <xdr:rowOff>113492</xdr:rowOff>
    </xdr:to>
    <xdr:graphicFrame macro="">
      <xdr:nvGraphicFramePr>
        <xdr:cNvPr id="22" name="Chart 2">
          <a:extLst>
            <a:ext uri="{FF2B5EF4-FFF2-40B4-BE49-F238E27FC236}">
              <a16:creationId xmlns:a16="http://schemas.microsoft.com/office/drawing/2014/main" id="{6C8E58F8-A550-9943-864B-DADF5ECCD5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33</xdr:col>
      <xdr:colOff>0</xdr:colOff>
      <xdr:row>95</xdr:row>
      <xdr:rowOff>0</xdr:rowOff>
    </xdr:from>
    <xdr:to>
      <xdr:col>38</xdr:col>
      <xdr:colOff>603614</xdr:colOff>
      <xdr:row>108</xdr:row>
      <xdr:rowOff>113492</xdr:rowOff>
    </xdr:to>
    <xdr:graphicFrame macro="">
      <xdr:nvGraphicFramePr>
        <xdr:cNvPr id="23" name="Chart 2">
          <a:extLst>
            <a:ext uri="{FF2B5EF4-FFF2-40B4-BE49-F238E27FC236}">
              <a16:creationId xmlns:a16="http://schemas.microsoft.com/office/drawing/2014/main" id="{E001E33E-B592-B046-84BC-26EDE553A1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33</xdr:col>
      <xdr:colOff>0</xdr:colOff>
      <xdr:row>110</xdr:row>
      <xdr:rowOff>15679</xdr:rowOff>
    </xdr:from>
    <xdr:to>
      <xdr:col>38</xdr:col>
      <xdr:colOff>603614</xdr:colOff>
      <xdr:row>123</xdr:row>
      <xdr:rowOff>129171</xdr:rowOff>
    </xdr:to>
    <xdr:graphicFrame macro="">
      <xdr:nvGraphicFramePr>
        <xdr:cNvPr id="24" name="Chart 2">
          <a:extLst>
            <a:ext uri="{FF2B5EF4-FFF2-40B4-BE49-F238E27FC236}">
              <a16:creationId xmlns:a16="http://schemas.microsoft.com/office/drawing/2014/main" id="{85696EF4-E389-0846-9D73-DE258459D1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33</xdr:col>
      <xdr:colOff>0</xdr:colOff>
      <xdr:row>124</xdr:row>
      <xdr:rowOff>188148</xdr:rowOff>
    </xdr:from>
    <xdr:to>
      <xdr:col>38</xdr:col>
      <xdr:colOff>603614</xdr:colOff>
      <xdr:row>138</xdr:row>
      <xdr:rowOff>97813</xdr:rowOff>
    </xdr:to>
    <xdr:graphicFrame macro="">
      <xdr:nvGraphicFramePr>
        <xdr:cNvPr id="25" name="Chart 2">
          <a:extLst>
            <a:ext uri="{FF2B5EF4-FFF2-40B4-BE49-F238E27FC236}">
              <a16:creationId xmlns:a16="http://schemas.microsoft.com/office/drawing/2014/main" id="{75E5FB4C-DB64-254A-8BDA-C985DA0AC4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33</xdr:col>
      <xdr:colOff>0</xdr:colOff>
      <xdr:row>140</xdr:row>
      <xdr:rowOff>0</xdr:rowOff>
    </xdr:from>
    <xdr:to>
      <xdr:col>38</xdr:col>
      <xdr:colOff>603614</xdr:colOff>
      <xdr:row>153</xdr:row>
      <xdr:rowOff>113491</xdr:rowOff>
    </xdr:to>
    <xdr:graphicFrame macro="">
      <xdr:nvGraphicFramePr>
        <xdr:cNvPr id="26" name="Chart 2">
          <a:extLst>
            <a:ext uri="{FF2B5EF4-FFF2-40B4-BE49-F238E27FC236}">
              <a16:creationId xmlns:a16="http://schemas.microsoft.com/office/drawing/2014/main" id="{05C56728-535E-8B45-80A5-334A066261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33</xdr:col>
      <xdr:colOff>0</xdr:colOff>
      <xdr:row>155</xdr:row>
      <xdr:rowOff>0</xdr:rowOff>
    </xdr:from>
    <xdr:to>
      <xdr:col>38</xdr:col>
      <xdr:colOff>603614</xdr:colOff>
      <xdr:row>168</xdr:row>
      <xdr:rowOff>113492</xdr:rowOff>
    </xdr:to>
    <xdr:graphicFrame macro="">
      <xdr:nvGraphicFramePr>
        <xdr:cNvPr id="27" name="Chart 2">
          <a:extLst>
            <a:ext uri="{FF2B5EF4-FFF2-40B4-BE49-F238E27FC236}">
              <a16:creationId xmlns:a16="http://schemas.microsoft.com/office/drawing/2014/main" id="{B42031B7-A73F-1049-86A8-902004F66E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siero Sara" id="{2139817C-F31B-47C8-BA21-3152B5CD914A}" userId="S::sara.masiero@supsi.ch::fa0cd6e8-96a6-4989-9bb8-f78db78de423" providerId="AD"/>
  <person displayName="Matteri Davide" id="{1F0C940C-0A34-4B69-8336-15807636E4AD}" userId="S::davide.matteri@supsi.ch::477273f1-7e31-4383-b381-cbf430b8121e"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12" dT="2025-11-13T09:35:39.48" personId="{2139817C-F31B-47C8-BA21-3152B5CD914A}" id="{51FFDFB5-58A8-4734-9941-916496CE344D}">
    <text>Il tuo log mostra che, per il singolo evento di caricamento/cambio di step (dal 9 al 10), il callback update_step_content viene eseguito due volte consecutivamente (o quasi) e produce due risultati diversi.</text>
  </threadedComment>
  <threadedComment ref="D12" dT="2025-11-13T10:13:41.71" personId="{1F0C940C-0A34-4B69-8336-15807636E4AD}" id="{0DE9DD9A-5301-4F60-8519-1371EF7413F2}" parentId="{51FFDFB5-58A8-4734-9941-916496CE344D}">
    <text>non ho capito</text>
  </threadedComment>
  <threadedComment ref="D12" dT="2025-11-13T10:22:37.38" personId="{2139817C-F31B-47C8-BA21-3152B5CD914A}" id="{23C5B014-3D74-487F-930E-B49237193DB5}" parentId="{51FFDFB5-58A8-4734-9941-916496CE344D}">
    <text>avevo notato che il codice eseguiva la chiamata a gemini 2 volte per ogni step. La seconda chiamata generava una configurazioen differente dalla prima a volte. e nell'interfacci aveniva mostrato il risultato della prima configurazione. L'ho notato in questo step</text>
  </threadedComment>
  <threadedComment ref="Q61" dT="2025-11-14T07:25:55.28" personId="{2139817C-F31B-47C8-BA21-3152B5CD914A}" id="{BF9D4057-3FEC-46C5-B928-8DE46E9543AB}">
    <text>================================================================================
USER 4 - STEP 11
================================================================================
CURRENT USER (4) PREVIOUS INTERACTIONS:
 Step 1: viewed [short_text, single_pieces]
 Step 2: viewed [assembly]
 Step 3: viewed [short_text, single_pieces]
 Step 4: viewed [single_pieces, assembly]
 Step 5: viewed [short_text, single_pieces]
 Step 6: viewed [assembly]
 Step 7: viewed [short_text, single_pieces]
 Step 8: viewed [assembly]
 Step 9: viewed [short_text, single_pieces]
 Step 10: viewed [assembly]
OTHER USERS' AGGREGATED PATTERNS:
 Based on data from 3 previous users:
  Step 1: short_text(100%), single_pieces(33%)
  Step 2: short_text(100%), long_text(33%), single_pieces(67%), assembly(67%), video(33%)
  Step 3: short_text(67%), single_pieces(33%)
  Step 4: short_text(67%), long_text(33%), single_pieces(33%), assembly(67%), video(67%)
  Step 5: short_text(67%), single_pieces(33%)
  Step 6: short_text(67%), assembly(100%)
  Step 7: short_text(67%), single_pieces(33%)
  Step 8: short_text(67%), assembly(100%)
  Step 9: short_text(67%), single_pieces(33%)
  Step 10: short_text(67%), single_pieces(33%), assembly(100%)
  Step 11: short_text(67%), single_pieces(33%), assembly(100%)
================================================================================
Aggregated prefs for step 11: {'short_text': 0.6666666666666666, 'long_text': 0.0, 'single_pieces': 0.3333333333333333, 'assembly': 1.0, 'video': 0.0}
Gemini adaptation: Based on the user's history, they consistently preferred viewing the 'assembly' image for assembly steps. Aggregated preferences for this specific step also show 100% of users viewed 'assembly'. Therefore, the 'assembly' image is made visible. 'Short_text' is made visible as it's a concise instruction and generally preferred by other users (66.7%). 'Long_text' is hidden to avoid redundancy with 'short_text'. The 'video' is made visible as it's an assembly step and video often aids in understanding complex movements, and it was highly preferred in similar assembly steps by other users (e.g., Step 4 had 67% video preference). 'Single_pieces' is hidden as the user's main focus for assembly steps is the final assembly, and aggregated preference for 'single_pieces' is low (33.3%).
After validation: {'short_text': True, 'long_text': False, 'single_pieces': False, 'assembly': True, 'video': True}
================================================================================</text>
  </threadedComment>
  <threadedComment ref="O65" dT="2025-11-14T07:30:59.52" personId="{2139817C-F31B-47C8-BA21-3152B5CD914A}" id="{7FF6DAF9-81A9-455B-BDB6-1CD1BB29FD99}">
    <text>no da u giusto peso alle iterazione storiche dell'utente con quelle aggregate degli altri:
USER 4 - STEP 15
================================================================================
CURRENT USER (4) PREVIOUS INTERACTIONS:
 Step 1: viewed [short_text, single_pieces]
 Step 2: viewed [assembly]
 Step 3: viewed [short_text, single_pieces]
 Step 4: viewed [single_pieces, assembly]
 Step 5: viewed [short_text, single_pieces]
 Step 6: viewed [assembly]
 Step 7: viewed [short_text, single_pieces]
 Step 8: viewed [assembly]
 Step 9: viewed [short_text, single_pieces]
 Step 10: viewed [assembly]
 Step 11: viewed [assembly]
 Step 12: viewed [short_text, single_pieces]
 Step 13: viewed [assembly]
 Step 14: viewed [short_text, single_pieces]
OTHER USERS' AGGREGATED PATTERNS:
 Based on data from 3 previous users:
  Step 1: short_text(100%), single_pieces(33%)
  Step 2: short_text(100%), long_text(33%), single_pieces(67%), assembly(67%), video(33%)
  Step 3: short_text(67%), single_pieces(33%)
  Step 4: short_text(67%), long_text(33%), single_pieces(33%), assembly(67%), video(67%)
  Step 5: short_text(67%), single_pieces(33%)
  Step 6: short_text(67%), assembly(100%)
  Step 7: short_text(67%), single_pieces(33%)
  Step 8: short_text(67%), assembly(100%)
  Step 9: short_text(67%), single_pieces(33%)
  Step 10: short_text(67%), single_pieces(33%), assembly(100%)
  Step 11: short_text(67%), single_pieces(33%), assembly(100%)
  Step 12: short_text(67%), single_pieces(33%)
  Step 13: short_text(67%), long_text(33%), assembly(100%), video(67%)
  Step 14: short_text(67%), single_pieces(33%)
  Step 15: short_text(67%), assembly(67%), video(33%)
================================================================================
Aggregated prefs for step 15: {'short_text': 0.6666666666666666, 'long_text': 0.0, 'single_pieces': 0.0, 'assembly': 0.6666666666666666, 'video': 0.3333333333333333}
Gemini adaptation: Based on User 4's interaction history, they consistently view the 'assembly' image in assembly steps (e.g., Steps 2, 6, 8, 10, 11, 13). Therefore, 'assembly' is set to true. The user also viewed 'single_pieces' in a previous assembly step (Step 4), which is useful for identifying the components before assembly, so it is also set to true. While the user hasn't shown a strong preference for text in assembly steps, 'short_text' is made visible to provide a concise instruction, aligning with the 66.7% preference from other users for this step. 'Long_text' is hidden to avoid redundancy and because 'short_text' is preferred. 'Video' is set to false as it has a lower aggregated preference (33.3%) and the current user has not shown a specific interest in videos for similar steps.
After validation: {'short_text': True, 'long_text': False, 'single_pieces': True, 'assembly': True, 'video': False}</text>
  </threadedComment>
</ThreadedComments>
</file>

<file path=xl/threadedComments/threadedComment2.xml><?xml version="1.0" encoding="utf-8"?>
<ThreadedComments xmlns="http://schemas.microsoft.com/office/spreadsheetml/2018/threadedcomments" xmlns:x="http://schemas.openxmlformats.org/spreadsheetml/2006/main">
  <threadedComment ref="D12" dT="2025-11-13T09:35:39.48" personId="{2139817C-F31B-47C8-BA21-3152B5CD914A}" id="{579F19EA-4606-DB42-A780-81EA47B2C473}">
    <text>Il tuo log mostra che, per il singolo evento di caricamento/cambio di step (dal 9 al 10), il callback update_step_content viene eseguito due volte consecutivamente (o quasi) e produce due risultati diversi.</text>
  </threadedComment>
  <threadedComment ref="D12" dT="2025-11-13T10:13:41.71" personId="{1F0C940C-0A34-4B69-8336-15807636E4AD}" id="{8FA43863-D0ED-534B-9179-895F1549234F}" parentId="{579F19EA-4606-DB42-A780-81EA47B2C473}">
    <text>non ho capito</text>
  </threadedComment>
  <threadedComment ref="D12" dT="2025-11-13T10:22:37.38" personId="{2139817C-F31B-47C8-BA21-3152B5CD914A}" id="{FB7280A2-CDF8-6F4A-8D9A-423EC3A0EC30}" parentId="{579F19EA-4606-DB42-A780-81EA47B2C473}">
    <text>avevo notato che il codice eseguiva la chiamata a gemini 2 volte per ogni step. La seconda chiamata generava una configurazioen differente dalla prima a volte. e nell'interfacci aveniva mostrato il risultato della prima configurazione. L'ho notato in questo step</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8D0E7-3B07-5C49-B1D4-65F66D1E0E61}">
  <sheetPr codeName="Sheet1"/>
  <dimension ref="A1:Q256"/>
  <sheetViews>
    <sheetView zoomScale="73" workbookViewId="0">
      <selection activeCell="N3" sqref="N3"/>
    </sheetView>
  </sheetViews>
  <sheetFormatPr defaultColWidth="11" defaultRowHeight="15.95"/>
  <cols>
    <col min="2" max="2" width="12.625" customWidth="1"/>
    <col min="3" max="3" width="10.875" style="6"/>
    <col min="4" max="4" width="29.875" customWidth="1"/>
    <col min="10" max="10" width="10.875" style="9"/>
    <col min="11" max="11" width="10.875" style="7"/>
    <col min="12" max="12" width="10.875" style="9"/>
    <col min="13" max="13" width="14.875" style="3" bestFit="1" customWidth="1"/>
    <col min="14" max="14" width="14.375" style="3" bestFit="1" customWidth="1"/>
    <col min="15" max="15" width="17.125" style="3" bestFit="1" customWidth="1"/>
    <col min="16" max="16" width="14.125" style="3" bestFit="1" customWidth="1"/>
    <col min="17" max="17" width="11.125" style="3" bestFit="1" customWidth="1"/>
  </cols>
  <sheetData>
    <row r="1" spans="1:17">
      <c r="E1" s="42" t="s">
        <v>0</v>
      </c>
      <c r="F1" s="42"/>
      <c r="G1" s="42"/>
      <c r="H1" s="42"/>
      <c r="I1" s="42"/>
      <c r="M1" s="43" t="s">
        <v>1</v>
      </c>
      <c r="N1" s="43"/>
      <c r="O1" s="43"/>
      <c r="P1" s="43"/>
      <c r="Q1" s="43"/>
    </row>
    <row r="2" spans="1:17">
      <c r="A2" s="1" t="s">
        <v>2</v>
      </c>
      <c r="B2" s="1" t="s">
        <v>3</v>
      </c>
      <c r="C2" s="5" t="s">
        <v>4</v>
      </c>
      <c r="D2" s="1" t="s">
        <v>5</v>
      </c>
      <c r="E2" s="1" t="s">
        <v>6</v>
      </c>
      <c r="F2" s="1" t="s">
        <v>7</v>
      </c>
      <c r="G2" s="1" t="s">
        <v>8</v>
      </c>
      <c r="H2" s="1" t="s">
        <v>9</v>
      </c>
      <c r="I2" s="1" t="s">
        <v>10</v>
      </c>
      <c r="K2" s="7" t="s">
        <v>11</v>
      </c>
      <c r="M2" s="1" t="s">
        <v>6</v>
      </c>
      <c r="N2" s="1" t="s">
        <v>7</v>
      </c>
      <c r="O2" s="1" t="s">
        <v>8</v>
      </c>
      <c r="P2" s="1" t="s">
        <v>9</v>
      </c>
      <c r="Q2" s="1" t="s">
        <v>10</v>
      </c>
    </row>
    <row r="3" spans="1:17">
      <c r="A3" s="1">
        <v>1</v>
      </c>
      <c r="B3" s="2" t="s">
        <v>12</v>
      </c>
      <c r="C3" s="10" t="s">
        <v>13</v>
      </c>
      <c r="D3" s="2" t="s">
        <v>14</v>
      </c>
      <c r="E3" s="2" t="s">
        <v>13</v>
      </c>
      <c r="F3" s="2" t="s">
        <v>15</v>
      </c>
      <c r="G3" s="2" t="s">
        <v>13</v>
      </c>
      <c r="H3" s="2" t="s">
        <v>15</v>
      </c>
      <c r="I3" s="2" t="s">
        <v>15</v>
      </c>
      <c r="J3" s="9">
        <f>IF(OR(C3=1,C3=3,C3=5,C3=7,C3=9,C3=12,C3=14),-3,IF(OR(C3=2,C3=4,C3=6,C3=8,C3=10,C3=11,C3=13,C3=15),0,-1))</f>
        <v>-1</v>
      </c>
      <c r="K3" s="7">
        <f>SUM(IF(E3=M3,1,0),IF(F3=N3,1,0),IF(G3=O3,1,0),IF(H3=P3,1,0),IF(I3=Q3,1,0),J3)/IF(OR(C3=1,C3=3,C3=5,C3=7,C3=9,C3=12,C3=14),2,IF(OR(C3=2,C3=4,C3=6,C3=8,C3=10,C3=11,C3=13,C3=15),5,4))</f>
        <v>1</v>
      </c>
      <c r="L3" s="9">
        <v>0.5</v>
      </c>
      <c r="M3" s="4" t="s">
        <v>13</v>
      </c>
      <c r="N3" s="4" t="s">
        <v>15</v>
      </c>
      <c r="O3" s="4" t="s">
        <v>13</v>
      </c>
      <c r="P3" s="4" t="s">
        <v>15</v>
      </c>
      <c r="Q3" s="4" t="s">
        <v>15</v>
      </c>
    </row>
    <row r="4" spans="1:17">
      <c r="A4" s="1">
        <v>1</v>
      </c>
      <c r="B4" s="2" t="s">
        <v>12</v>
      </c>
      <c r="C4" s="10">
        <v>2</v>
      </c>
      <c r="D4" s="2" t="s">
        <v>16</v>
      </c>
      <c r="E4" s="2" t="s">
        <v>13</v>
      </c>
      <c r="F4" s="2" t="s">
        <v>15</v>
      </c>
      <c r="G4" s="2" t="s">
        <v>15</v>
      </c>
      <c r="H4" s="2" t="s">
        <v>15</v>
      </c>
      <c r="I4" s="2" t="s">
        <v>13</v>
      </c>
      <c r="J4" s="9">
        <f t="shared" ref="J4:J67" si="0">IF(OR(C4=1,C4=3,C4=5,C4=7,C4=9,C4=12,C4=14),-3,IF(OR(C4=2,C4=4,C4=6,C4=8,C4=10,C4=11,C4=13,C4=15),0,-1))</f>
        <v>0</v>
      </c>
      <c r="K4" s="7">
        <f t="shared" ref="K4:K50" si="1">SUM(IF(E4=M4,1,0),IF(F4=N4,1,0),IF(G4=O4,1,0),IF(H4=P4,1,0),IF(I4=Q4,1,0),J4)/IF(OR(C4=1,C4=3,C4=5,C4=7,C4=9,C4=12,C4=14),2,IF(OR(C4=2,C4=4,C4=6,C4=8,C4=10,C4=11,C4=13,C4=15),5,4))</f>
        <v>0.4</v>
      </c>
      <c r="L4" s="9">
        <v>0.5</v>
      </c>
      <c r="M4" s="3" t="s">
        <v>13</v>
      </c>
      <c r="N4" s="3" t="s">
        <v>15</v>
      </c>
      <c r="O4" s="3" t="s">
        <v>13</v>
      </c>
      <c r="P4" s="3" t="s">
        <v>13</v>
      </c>
      <c r="Q4" s="3" t="s">
        <v>15</v>
      </c>
    </row>
    <row r="5" spans="1:17">
      <c r="A5" s="1">
        <v>1</v>
      </c>
      <c r="B5" s="2" t="s">
        <v>12</v>
      </c>
      <c r="C5" s="10">
        <v>3</v>
      </c>
      <c r="D5" s="2" t="s">
        <v>17</v>
      </c>
      <c r="E5" s="2" t="s">
        <v>15</v>
      </c>
      <c r="F5" s="2" t="s">
        <v>15</v>
      </c>
      <c r="G5" s="2" t="s">
        <v>13</v>
      </c>
      <c r="H5" s="2" t="s">
        <v>15</v>
      </c>
      <c r="I5" s="2" t="s">
        <v>15</v>
      </c>
      <c r="J5" s="9">
        <f t="shared" si="0"/>
        <v>-3</v>
      </c>
      <c r="K5" s="7">
        <f t="shared" si="1"/>
        <v>0.5</v>
      </c>
      <c r="L5" s="9">
        <v>0.5</v>
      </c>
      <c r="M5" s="4" t="s">
        <v>13</v>
      </c>
      <c r="N5" s="4" t="s">
        <v>15</v>
      </c>
      <c r="O5" s="4" t="s">
        <v>13</v>
      </c>
      <c r="P5" s="4" t="s">
        <v>15</v>
      </c>
      <c r="Q5" s="4" t="s">
        <v>15</v>
      </c>
    </row>
    <row r="6" spans="1:17">
      <c r="A6" s="1">
        <v>1</v>
      </c>
      <c r="B6" s="2" t="s">
        <v>12</v>
      </c>
      <c r="C6" s="10">
        <v>4</v>
      </c>
      <c r="D6" s="2" t="s">
        <v>18</v>
      </c>
      <c r="E6" s="2" t="s">
        <v>15</v>
      </c>
      <c r="F6" s="2" t="s">
        <v>15</v>
      </c>
      <c r="G6" s="2" t="s">
        <v>15</v>
      </c>
      <c r="H6" s="2" t="s">
        <v>15</v>
      </c>
      <c r="I6" s="2" t="s">
        <v>13</v>
      </c>
      <c r="J6" s="9">
        <f t="shared" si="0"/>
        <v>0</v>
      </c>
      <c r="K6" s="7">
        <f t="shared" si="1"/>
        <v>0.4</v>
      </c>
      <c r="L6" s="9">
        <v>0.5</v>
      </c>
      <c r="M6" s="3" t="s">
        <v>13</v>
      </c>
      <c r="N6" s="3" t="s">
        <v>15</v>
      </c>
      <c r="O6" s="3" t="s">
        <v>13</v>
      </c>
      <c r="P6" s="3" t="s">
        <v>13</v>
      </c>
      <c r="Q6" s="3" t="s">
        <v>13</v>
      </c>
    </row>
    <row r="7" spans="1:17">
      <c r="A7" s="1">
        <v>1</v>
      </c>
      <c r="B7" s="2" t="s">
        <v>12</v>
      </c>
      <c r="C7" s="10">
        <v>5</v>
      </c>
      <c r="D7" s="2" t="s">
        <v>19</v>
      </c>
      <c r="E7" s="2" t="s">
        <v>15</v>
      </c>
      <c r="F7" s="2" t="s">
        <v>15</v>
      </c>
      <c r="G7" s="2" t="s">
        <v>13</v>
      </c>
      <c r="H7" s="2" t="s">
        <v>15</v>
      </c>
      <c r="I7" s="2" t="s">
        <v>15</v>
      </c>
      <c r="J7" s="9">
        <f t="shared" si="0"/>
        <v>-3</v>
      </c>
      <c r="K7" s="7">
        <f t="shared" si="1"/>
        <v>0.5</v>
      </c>
      <c r="L7" s="9">
        <v>0.5</v>
      </c>
      <c r="M7" s="4" t="s">
        <v>13</v>
      </c>
      <c r="N7" s="4" t="s">
        <v>15</v>
      </c>
      <c r="O7" s="4" t="s">
        <v>13</v>
      </c>
      <c r="P7" s="4" t="s">
        <v>15</v>
      </c>
      <c r="Q7" s="4" t="s">
        <v>15</v>
      </c>
    </row>
    <row r="8" spans="1:17">
      <c r="A8" s="1">
        <v>1</v>
      </c>
      <c r="B8" s="2" t="s">
        <v>12</v>
      </c>
      <c r="C8" s="10">
        <v>6</v>
      </c>
      <c r="D8" s="2" t="s">
        <v>20</v>
      </c>
      <c r="E8" s="2" t="s">
        <v>15</v>
      </c>
      <c r="F8" s="2" t="s">
        <v>15</v>
      </c>
      <c r="G8" s="2" t="s">
        <v>15</v>
      </c>
      <c r="H8" s="2" t="s">
        <v>13</v>
      </c>
      <c r="I8" s="2" t="s">
        <v>15</v>
      </c>
      <c r="J8" s="9">
        <f t="shared" si="0"/>
        <v>0</v>
      </c>
      <c r="K8" s="7">
        <f t="shared" si="1"/>
        <v>0.2</v>
      </c>
      <c r="L8" s="9">
        <v>0.5</v>
      </c>
      <c r="M8" s="3" t="s">
        <v>13</v>
      </c>
      <c r="N8" s="3" t="s">
        <v>15</v>
      </c>
      <c r="O8" s="3" t="s">
        <v>13</v>
      </c>
      <c r="P8" s="3" t="s">
        <v>15</v>
      </c>
      <c r="Q8" s="3" t="s">
        <v>13</v>
      </c>
    </row>
    <row r="9" spans="1:17">
      <c r="A9" s="1">
        <v>1</v>
      </c>
      <c r="B9" s="2" t="s">
        <v>12</v>
      </c>
      <c r="C9" s="10">
        <v>7</v>
      </c>
      <c r="D9" s="2" t="s">
        <v>21</v>
      </c>
      <c r="E9" s="2" t="s">
        <v>15</v>
      </c>
      <c r="F9" s="2" t="s">
        <v>15</v>
      </c>
      <c r="G9" s="2" t="s">
        <v>13</v>
      </c>
      <c r="H9" s="2" t="s">
        <v>15</v>
      </c>
      <c r="I9" s="2" t="s">
        <v>15</v>
      </c>
      <c r="J9" s="9">
        <f t="shared" si="0"/>
        <v>-3</v>
      </c>
      <c r="K9" s="7">
        <f t="shared" si="1"/>
        <v>0.5</v>
      </c>
      <c r="L9" s="9">
        <v>0.5</v>
      </c>
      <c r="M9" s="4" t="s">
        <v>13</v>
      </c>
      <c r="N9" s="4" t="s">
        <v>15</v>
      </c>
      <c r="O9" s="4" t="s">
        <v>13</v>
      </c>
      <c r="P9" s="4" t="s">
        <v>15</v>
      </c>
      <c r="Q9" s="4" t="s">
        <v>15</v>
      </c>
    </row>
    <row r="10" spans="1:17">
      <c r="A10" s="1">
        <v>1</v>
      </c>
      <c r="B10" s="2" t="s">
        <v>12</v>
      </c>
      <c r="C10" s="10">
        <v>8</v>
      </c>
      <c r="D10" s="2" t="s">
        <v>22</v>
      </c>
      <c r="E10" s="2" t="s">
        <v>15</v>
      </c>
      <c r="F10" s="2" t="s">
        <v>15</v>
      </c>
      <c r="G10" s="2" t="s">
        <v>15</v>
      </c>
      <c r="H10" s="2" t="s">
        <v>13</v>
      </c>
      <c r="I10" s="2" t="s">
        <v>15</v>
      </c>
      <c r="J10" s="9">
        <f t="shared" si="0"/>
        <v>0</v>
      </c>
      <c r="K10" s="7">
        <f t="shared" si="1"/>
        <v>0.6</v>
      </c>
      <c r="L10" s="9">
        <v>0.5</v>
      </c>
      <c r="M10" s="4" t="s">
        <v>13</v>
      </c>
      <c r="N10" s="4" t="s">
        <v>15</v>
      </c>
      <c r="O10" s="3" t="s">
        <v>13</v>
      </c>
      <c r="P10" s="3" t="s">
        <v>13</v>
      </c>
      <c r="Q10" s="4" t="s">
        <v>15</v>
      </c>
    </row>
    <row r="11" spans="1:17">
      <c r="A11" s="1">
        <v>1</v>
      </c>
      <c r="B11" s="2" t="s">
        <v>12</v>
      </c>
      <c r="C11" s="10">
        <v>9</v>
      </c>
      <c r="D11" s="2" t="s">
        <v>23</v>
      </c>
      <c r="E11" s="2" t="s">
        <v>15</v>
      </c>
      <c r="F11" s="2" t="s">
        <v>15</v>
      </c>
      <c r="G11" s="2" t="s">
        <v>13</v>
      </c>
      <c r="H11" s="2" t="s">
        <v>15</v>
      </c>
      <c r="I11" s="2" t="s">
        <v>15</v>
      </c>
      <c r="J11" s="9">
        <f t="shared" si="0"/>
        <v>-3</v>
      </c>
      <c r="K11" s="7">
        <f t="shared" si="1"/>
        <v>0.5</v>
      </c>
      <c r="L11" s="9">
        <v>0.5</v>
      </c>
      <c r="M11" s="4" t="s">
        <v>13</v>
      </c>
      <c r="N11" s="4" t="s">
        <v>15</v>
      </c>
      <c r="O11" s="4" t="s">
        <v>13</v>
      </c>
      <c r="P11" s="4" t="s">
        <v>15</v>
      </c>
      <c r="Q11" s="4" t="s">
        <v>15</v>
      </c>
    </row>
    <row r="12" spans="1:17">
      <c r="A12" s="1">
        <v>1</v>
      </c>
      <c r="B12" s="2" t="s">
        <v>12</v>
      </c>
      <c r="C12" s="10">
        <v>10</v>
      </c>
      <c r="D12" s="2" t="s">
        <v>24</v>
      </c>
      <c r="E12" s="2" t="s">
        <v>15</v>
      </c>
      <c r="F12" s="2" t="s">
        <v>15</v>
      </c>
      <c r="G12" s="2" t="s">
        <v>15</v>
      </c>
      <c r="H12" s="2" t="s">
        <v>13</v>
      </c>
      <c r="I12" s="2" t="s">
        <v>15</v>
      </c>
      <c r="J12" s="9">
        <f t="shared" si="0"/>
        <v>0</v>
      </c>
      <c r="K12" s="7">
        <f t="shared" si="1"/>
        <v>0.6</v>
      </c>
      <c r="L12" s="9">
        <v>0.5</v>
      </c>
      <c r="M12" s="4" t="s">
        <v>13</v>
      </c>
      <c r="N12" s="4" t="s">
        <v>15</v>
      </c>
      <c r="O12" s="3" t="s">
        <v>13</v>
      </c>
      <c r="P12" s="3" t="s">
        <v>13</v>
      </c>
      <c r="Q12" s="4" t="s">
        <v>15</v>
      </c>
    </row>
    <row r="13" spans="1:17">
      <c r="A13" s="1">
        <v>1</v>
      </c>
      <c r="B13" s="2" t="s">
        <v>12</v>
      </c>
      <c r="C13" s="10">
        <v>11</v>
      </c>
      <c r="D13" s="2" t="s">
        <v>25</v>
      </c>
      <c r="E13" s="2" t="s">
        <v>15</v>
      </c>
      <c r="F13" s="2" t="s">
        <v>15</v>
      </c>
      <c r="G13" s="2" t="s">
        <v>13</v>
      </c>
      <c r="H13" s="2" t="s">
        <v>13</v>
      </c>
      <c r="I13" s="2" t="s">
        <v>15</v>
      </c>
      <c r="J13" s="9">
        <f t="shared" si="0"/>
        <v>0</v>
      </c>
      <c r="K13" s="7">
        <f t="shared" si="1"/>
        <v>0.8</v>
      </c>
      <c r="L13" s="9">
        <v>0.5</v>
      </c>
      <c r="M13" s="4" t="s">
        <v>13</v>
      </c>
      <c r="N13" s="4" t="s">
        <v>15</v>
      </c>
      <c r="O13" s="3" t="s">
        <v>13</v>
      </c>
      <c r="P13" s="3" t="s">
        <v>13</v>
      </c>
      <c r="Q13" s="4" t="s">
        <v>15</v>
      </c>
    </row>
    <row r="14" spans="1:17">
      <c r="A14" s="1">
        <v>1</v>
      </c>
      <c r="B14" s="2" t="s">
        <v>12</v>
      </c>
      <c r="C14" s="10">
        <v>12</v>
      </c>
      <c r="D14" s="2" t="s">
        <v>26</v>
      </c>
      <c r="E14" s="2" t="s">
        <v>15</v>
      </c>
      <c r="F14" s="2" t="s">
        <v>15</v>
      </c>
      <c r="G14" s="2" t="s">
        <v>13</v>
      </c>
      <c r="H14" s="2" t="s">
        <v>15</v>
      </c>
      <c r="I14" s="2" t="s">
        <v>15</v>
      </c>
      <c r="J14" s="9">
        <f t="shared" si="0"/>
        <v>-3</v>
      </c>
      <c r="K14" s="7">
        <f t="shared" si="1"/>
        <v>0.5</v>
      </c>
      <c r="L14" s="9">
        <v>0.5</v>
      </c>
      <c r="M14" s="4" t="s">
        <v>13</v>
      </c>
      <c r="N14" s="4" t="s">
        <v>15</v>
      </c>
      <c r="O14" s="4" t="s">
        <v>13</v>
      </c>
      <c r="P14" s="4" t="s">
        <v>15</v>
      </c>
      <c r="Q14" s="4" t="s">
        <v>15</v>
      </c>
    </row>
    <row r="15" spans="1:17">
      <c r="A15" s="1">
        <v>1</v>
      </c>
      <c r="B15" s="2" t="s">
        <v>12</v>
      </c>
      <c r="C15" s="10">
        <v>13</v>
      </c>
      <c r="D15" s="2" t="s">
        <v>27</v>
      </c>
      <c r="E15" s="2" t="s">
        <v>15</v>
      </c>
      <c r="F15" s="2" t="s">
        <v>15</v>
      </c>
      <c r="G15" s="2" t="s">
        <v>15</v>
      </c>
      <c r="H15" s="2" t="s">
        <v>13</v>
      </c>
      <c r="I15" s="2" t="s">
        <v>13</v>
      </c>
      <c r="J15" s="9">
        <f t="shared" si="0"/>
        <v>0</v>
      </c>
      <c r="K15" s="7">
        <f t="shared" si="1"/>
        <v>0.4</v>
      </c>
      <c r="L15" s="9">
        <v>0.5</v>
      </c>
      <c r="M15" s="4" t="s">
        <v>13</v>
      </c>
      <c r="N15" s="4" t="s">
        <v>15</v>
      </c>
      <c r="O15" s="3" t="s">
        <v>13</v>
      </c>
      <c r="P15" s="3" t="s">
        <v>13</v>
      </c>
      <c r="Q15" s="4" t="s">
        <v>15</v>
      </c>
    </row>
    <row r="16" spans="1:17">
      <c r="A16" s="1">
        <v>1</v>
      </c>
      <c r="B16" s="2" t="s">
        <v>12</v>
      </c>
      <c r="C16" s="10">
        <v>14</v>
      </c>
      <c r="D16" s="2" t="s">
        <v>28</v>
      </c>
      <c r="E16" s="2" t="s">
        <v>15</v>
      </c>
      <c r="F16" s="2" t="s">
        <v>15</v>
      </c>
      <c r="G16" s="2" t="s">
        <v>13</v>
      </c>
      <c r="H16" s="2" t="s">
        <v>15</v>
      </c>
      <c r="I16" s="2" t="s">
        <v>15</v>
      </c>
      <c r="J16" s="9">
        <f t="shared" si="0"/>
        <v>-3</v>
      </c>
      <c r="K16" s="7">
        <f t="shared" si="1"/>
        <v>0.5</v>
      </c>
      <c r="L16" s="9">
        <v>0.5</v>
      </c>
      <c r="M16" s="4" t="s">
        <v>13</v>
      </c>
      <c r="N16" s="4" t="s">
        <v>15</v>
      </c>
      <c r="O16" s="4" t="s">
        <v>13</v>
      </c>
      <c r="P16" s="4" t="s">
        <v>15</v>
      </c>
      <c r="Q16" s="4" t="s">
        <v>15</v>
      </c>
    </row>
    <row r="17" spans="1:17">
      <c r="A17" s="1">
        <v>1</v>
      </c>
      <c r="B17" s="2" t="s">
        <v>12</v>
      </c>
      <c r="C17" s="10">
        <v>15</v>
      </c>
      <c r="D17" s="2" t="s">
        <v>29</v>
      </c>
      <c r="E17" s="2" t="s">
        <v>15</v>
      </c>
      <c r="F17" s="2" t="s">
        <v>15</v>
      </c>
      <c r="G17" s="2" t="s">
        <v>15</v>
      </c>
      <c r="H17" s="2" t="s">
        <v>15</v>
      </c>
      <c r="I17" s="2" t="s">
        <v>13</v>
      </c>
      <c r="J17" s="9">
        <f t="shared" si="0"/>
        <v>0</v>
      </c>
      <c r="K17" s="7">
        <f t="shared" si="1"/>
        <v>0.2</v>
      </c>
      <c r="L17" s="9">
        <v>0.5</v>
      </c>
      <c r="M17" s="4" t="s">
        <v>13</v>
      </c>
      <c r="N17" s="4" t="s">
        <v>15</v>
      </c>
      <c r="O17" s="3" t="s">
        <v>13</v>
      </c>
      <c r="P17" s="3" t="s">
        <v>13</v>
      </c>
      <c r="Q17" s="4" t="s">
        <v>15</v>
      </c>
    </row>
    <row r="18" spans="1:17">
      <c r="A18" s="1">
        <v>1</v>
      </c>
      <c r="B18" s="2" t="s">
        <v>30</v>
      </c>
      <c r="C18" s="10">
        <v>16</v>
      </c>
      <c r="D18" s="2" t="s">
        <v>31</v>
      </c>
      <c r="E18" s="2" t="s">
        <v>15</v>
      </c>
      <c r="F18" s="2" t="s">
        <v>15</v>
      </c>
      <c r="G18" s="2" t="s">
        <v>15</v>
      </c>
      <c r="H18" s="2" t="s">
        <v>15</v>
      </c>
      <c r="I18" s="2" t="s">
        <v>13</v>
      </c>
      <c r="J18" s="9">
        <f t="shared" si="0"/>
        <v>-1</v>
      </c>
      <c r="K18" s="7">
        <f t="shared" si="1"/>
        <v>0.75</v>
      </c>
      <c r="L18" s="9">
        <v>0.5</v>
      </c>
      <c r="M18" s="4" t="s">
        <v>15</v>
      </c>
      <c r="N18" s="4" t="s">
        <v>15</v>
      </c>
      <c r="O18" s="4" t="s">
        <v>13</v>
      </c>
      <c r="P18" s="4" t="s">
        <v>15</v>
      </c>
      <c r="Q18" s="4" t="s">
        <v>13</v>
      </c>
    </row>
    <row r="19" spans="1:17">
      <c r="A19" s="1">
        <v>2</v>
      </c>
      <c r="B19" s="2" t="s">
        <v>12</v>
      </c>
      <c r="C19" s="10">
        <v>1</v>
      </c>
      <c r="D19" s="2" t="s">
        <v>32</v>
      </c>
      <c r="E19" s="2" t="s">
        <v>13</v>
      </c>
      <c r="F19" s="2" t="s">
        <v>15</v>
      </c>
      <c r="G19" s="2" t="s">
        <v>15</v>
      </c>
      <c r="H19" s="2" t="s">
        <v>15</v>
      </c>
      <c r="I19" s="2" t="s">
        <v>15</v>
      </c>
      <c r="J19" s="9">
        <f t="shared" si="0"/>
        <v>-3</v>
      </c>
      <c r="K19" s="7">
        <f t="shared" si="1"/>
        <v>0.5</v>
      </c>
      <c r="L19" s="9">
        <v>0.5</v>
      </c>
      <c r="M19" s="4" t="s">
        <v>13</v>
      </c>
      <c r="N19" s="4" t="s">
        <v>15</v>
      </c>
      <c r="O19" s="4" t="s">
        <v>13</v>
      </c>
      <c r="P19" s="4" t="s">
        <v>15</v>
      </c>
      <c r="Q19" s="4" t="s">
        <v>15</v>
      </c>
    </row>
    <row r="20" spans="1:17">
      <c r="A20" s="1">
        <v>2</v>
      </c>
      <c r="B20" s="2" t="s">
        <v>12</v>
      </c>
      <c r="C20" s="10">
        <v>2</v>
      </c>
      <c r="D20" s="2" t="s">
        <v>16</v>
      </c>
      <c r="E20" s="2" t="s">
        <v>13</v>
      </c>
      <c r="F20" s="2" t="s">
        <v>13</v>
      </c>
      <c r="G20" s="2" t="s">
        <v>13</v>
      </c>
      <c r="H20" s="2" t="s">
        <v>13</v>
      </c>
      <c r="I20" s="2" t="s">
        <v>15</v>
      </c>
      <c r="J20" s="9">
        <f t="shared" si="0"/>
        <v>0</v>
      </c>
      <c r="K20" s="7">
        <f t="shared" si="1"/>
        <v>0.6</v>
      </c>
      <c r="L20" s="9">
        <v>0.5</v>
      </c>
      <c r="M20" s="4" t="s">
        <v>13</v>
      </c>
      <c r="N20" s="4" t="s">
        <v>15</v>
      </c>
      <c r="O20" s="4" t="s">
        <v>13</v>
      </c>
      <c r="P20" s="4" t="s">
        <v>13</v>
      </c>
      <c r="Q20" s="4" t="s">
        <v>13</v>
      </c>
    </row>
    <row r="21" spans="1:17">
      <c r="A21" s="1">
        <v>2</v>
      </c>
      <c r="B21" s="2" t="s">
        <v>12</v>
      </c>
      <c r="C21" s="10">
        <v>3</v>
      </c>
      <c r="D21" s="2" t="s">
        <v>17</v>
      </c>
      <c r="E21" s="2" t="s">
        <v>13</v>
      </c>
      <c r="F21" s="2" t="s">
        <v>15</v>
      </c>
      <c r="G21" s="2" t="s">
        <v>15</v>
      </c>
      <c r="H21" s="2" t="s">
        <v>15</v>
      </c>
      <c r="I21" s="2" t="s">
        <v>15</v>
      </c>
      <c r="J21" s="9">
        <f t="shared" si="0"/>
        <v>-3</v>
      </c>
      <c r="K21" s="7">
        <f t="shared" si="1"/>
        <v>0.5</v>
      </c>
      <c r="L21" s="9">
        <v>0.5</v>
      </c>
      <c r="M21" s="4" t="s">
        <v>13</v>
      </c>
      <c r="N21" s="4" t="s">
        <v>15</v>
      </c>
      <c r="O21" s="4" t="s">
        <v>13</v>
      </c>
      <c r="P21" s="4" t="s">
        <v>15</v>
      </c>
      <c r="Q21" s="4" t="s">
        <v>15</v>
      </c>
    </row>
    <row r="22" spans="1:17">
      <c r="A22" s="1">
        <v>2</v>
      </c>
      <c r="B22" s="2" t="s">
        <v>12</v>
      </c>
      <c r="C22" s="10">
        <v>4</v>
      </c>
      <c r="D22" s="2" t="s">
        <v>18</v>
      </c>
      <c r="E22" s="2" t="s">
        <v>13</v>
      </c>
      <c r="F22" s="2" t="s">
        <v>15</v>
      </c>
      <c r="G22" s="2" t="s">
        <v>13</v>
      </c>
      <c r="H22" s="2" t="s">
        <v>13</v>
      </c>
      <c r="I22" s="2" t="s">
        <v>13</v>
      </c>
      <c r="J22" s="9">
        <f t="shared" si="0"/>
        <v>0</v>
      </c>
      <c r="K22" s="7">
        <f t="shared" si="1"/>
        <v>0.8</v>
      </c>
      <c r="L22" s="9">
        <v>0.5</v>
      </c>
      <c r="M22" s="3" t="s">
        <v>13</v>
      </c>
      <c r="N22" s="3" t="s">
        <v>15</v>
      </c>
      <c r="O22" s="3" t="s">
        <v>13</v>
      </c>
      <c r="P22" s="3" t="s">
        <v>15</v>
      </c>
      <c r="Q22" s="3" t="s">
        <v>13</v>
      </c>
    </row>
    <row r="23" spans="1:17">
      <c r="A23" s="1">
        <v>2</v>
      </c>
      <c r="B23" s="2" t="s">
        <v>12</v>
      </c>
      <c r="C23" s="10">
        <v>5</v>
      </c>
      <c r="D23" s="2" t="s">
        <v>19</v>
      </c>
      <c r="E23" s="2" t="s">
        <v>13</v>
      </c>
      <c r="F23" s="2" t="s">
        <v>15</v>
      </c>
      <c r="G23" s="2" t="s">
        <v>15</v>
      </c>
      <c r="H23" s="2" t="s">
        <v>15</v>
      </c>
      <c r="I23" s="2" t="s">
        <v>15</v>
      </c>
      <c r="J23" s="9">
        <f t="shared" si="0"/>
        <v>-3</v>
      </c>
      <c r="K23" s="7">
        <f t="shared" si="1"/>
        <v>0.5</v>
      </c>
      <c r="L23" s="9">
        <v>0.5</v>
      </c>
      <c r="M23" s="4" t="s">
        <v>13</v>
      </c>
      <c r="N23" s="4" t="s">
        <v>15</v>
      </c>
      <c r="O23" s="4" t="s">
        <v>13</v>
      </c>
      <c r="P23" s="4" t="s">
        <v>15</v>
      </c>
      <c r="Q23" s="4" t="s">
        <v>15</v>
      </c>
    </row>
    <row r="24" spans="1:17">
      <c r="A24" s="1">
        <v>2</v>
      </c>
      <c r="B24" s="2" t="s">
        <v>12</v>
      </c>
      <c r="C24" s="10">
        <v>6</v>
      </c>
      <c r="D24" s="2" t="s">
        <v>20</v>
      </c>
      <c r="E24" s="2" t="s">
        <v>13</v>
      </c>
      <c r="F24" s="2" t="s">
        <v>15</v>
      </c>
      <c r="G24" s="2" t="s">
        <v>15</v>
      </c>
      <c r="H24" s="2" t="s">
        <v>13</v>
      </c>
      <c r="I24" s="2" t="s">
        <v>15</v>
      </c>
      <c r="J24" s="9">
        <f t="shared" si="0"/>
        <v>0</v>
      </c>
      <c r="K24" s="7">
        <f t="shared" si="1"/>
        <v>0.6</v>
      </c>
      <c r="L24" s="9">
        <v>0.5</v>
      </c>
      <c r="M24" s="4" t="s">
        <v>13</v>
      </c>
      <c r="N24" s="4" t="s">
        <v>15</v>
      </c>
      <c r="O24" s="4" t="s">
        <v>13</v>
      </c>
      <c r="P24" s="4" t="s">
        <v>13</v>
      </c>
      <c r="Q24" s="4" t="s">
        <v>13</v>
      </c>
    </row>
    <row r="25" spans="1:17">
      <c r="A25" s="1">
        <v>2</v>
      </c>
      <c r="B25" s="2" t="s">
        <v>12</v>
      </c>
      <c r="C25" s="10">
        <v>7</v>
      </c>
      <c r="D25" s="2" t="s">
        <v>21</v>
      </c>
      <c r="E25" s="2" t="s">
        <v>13</v>
      </c>
      <c r="F25" s="2" t="s">
        <v>15</v>
      </c>
      <c r="G25" s="2" t="s">
        <v>15</v>
      </c>
      <c r="H25" s="2" t="s">
        <v>15</v>
      </c>
      <c r="I25" s="2" t="s">
        <v>15</v>
      </c>
      <c r="J25" s="9">
        <f t="shared" si="0"/>
        <v>-3</v>
      </c>
      <c r="K25" s="7">
        <f t="shared" si="1"/>
        <v>0.5</v>
      </c>
      <c r="L25" s="9">
        <v>0.5</v>
      </c>
      <c r="M25" s="4" t="s">
        <v>13</v>
      </c>
      <c r="N25" s="4" t="s">
        <v>15</v>
      </c>
      <c r="O25" s="4" t="s">
        <v>13</v>
      </c>
      <c r="P25" s="4" t="s">
        <v>15</v>
      </c>
      <c r="Q25" s="4" t="s">
        <v>15</v>
      </c>
    </row>
    <row r="26" spans="1:17">
      <c r="A26" s="1">
        <v>2</v>
      </c>
      <c r="B26" s="2" t="s">
        <v>12</v>
      </c>
      <c r="C26" s="10">
        <v>8</v>
      </c>
      <c r="D26" s="2" t="s">
        <v>22</v>
      </c>
      <c r="E26" s="2" t="s">
        <v>13</v>
      </c>
      <c r="F26" s="2" t="s">
        <v>15</v>
      </c>
      <c r="G26" s="2" t="s">
        <v>15</v>
      </c>
      <c r="H26" s="2" t="s">
        <v>13</v>
      </c>
      <c r="I26" s="2" t="s">
        <v>15</v>
      </c>
      <c r="J26" s="9">
        <f t="shared" si="0"/>
        <v>0</v>
      </c>
      <c r="K26" s="7">
        <f t="shared" si="1"/>
        <v>0.6</v>
      </c>
      <c r="L26" s="9">
        <v>0.5</v>
      </c>
      <c r="M26" s="4" t="s">
        <v>13</v>
      </c>
      <c r="N26" s="4" t="s">
        <v>15</v>
      </c>
      <c r="O26" s="4" t="s">
        <v>13</v>
      </c>
      <c r="P26" s="4" t="s">
        <v>13</v>
      </c>
      <c r="Q26" s="4" t="s">
        <v>13</v>
      </c>
    </row>
    <row r="27" spans="1:17">
      <c r="A27" s="1">
        <v>2</v>
      </c>
      <c r="B27" s="2" t="s">
        <v>12</v>
      </c>
      <c r="C27" s="10">
        <v>9</v>
      </c>
      <c r="D27" s="2" t="s">
        <v>23</v>
      </c>
      <c r="E27" s="2" t="s">
        <v>13</v>
      </c>
      <c r="F27" s="2" t="s">
        <v>15</v>
      </c>
      <c r="G27" s="2" t="s">
        <v>15</v>
      </c>
      <c r="H27" s="2" t="s">
        <v>15</v>
      </c>
      <c r="I27" s="2" t="s">
        <v>15</v>
      </c>
      <c r="J27" s="9">
        <f t="shared" si="0"/>
        <v>-3</v>
      </c>
      <c r="K27" s="7">
        <f t="shared" si="1"/>
        <v>0.5</v>
      </c>
      <c r="L27" s="9">
        <v>0.5</v>
      </c>
      <c r="M27" s="4" t="s">
        <v>13</v>
      </c>
      <c r="N27" s="4" t="s">
        <v>15</v>
      </c>
      <c r="O27" s="4" t="s">
        <v>13</v>
      </c>
      <c r="P27" s="4" t="s">
        <v>15</v>
      </c>
      <c r="Q27" s="4" t="s">
        <v>15</v>
      </c>
    </row>
    <row r="28" spans="1:17">
      <c r="A28" s="1">
        <v>2</v>
      </c>
      <c r="B28" s="2" t="s">
        <v>12</v>
      </c>
      <c r="C28" s="10">
        <v>10</v>
      </c>
      <c r="D28" s="2" t="s">
        <v>24</v>
      </c>
      <c r="E28" s="2" t="s">
        <v>13</v>
      </c>
      <c r="F28" s="2" t="s">
        <v>15</v>
      </c>
      <c r="G28" s="2" t="s">
        <v>13</v>
      </c>
      <c r="H28" s="2" t="s">
        <v>13</v>
      </c>
      <c r="I28" s="2" t="s">
        <v>15</v>
      </c>
      <c r="J28" s="9">
        <f t="shared" si="0"/>
        <v>0</v>
      </c>
      <c r="K28" s="7">
        <f t="shared" si="1"/>
        <v>0.8</v>
      </c>
      <c r="L28" s="9">
        <v>0.5</v>
      </c>
      <c r="M28" s="4" t="s">
        <v>13</v>
      </c>
      <c r="N28" s="4" t="s">
        <v>15</v>
      </c>
      <c r="O28" s="4" t="s">
        <v>13</v>
      </c>
      <c r="P28" s="4" t="s">
        <v>13</v>
      </c>
      <c r="Q28" s="4" t="s">
        <v>13</v>
      </c>
    </row>
    <row r="29" spans="1:17">
      <c r="A29" s="1">
        <v>2</v>
      </c>
      <c r="B29" s="2" t="s">
        <v>12</v>
      </c>
      <c r="C29" s="10">
        <v>11</v>
      </c>
      <c r="D29" s="2" t="s">
        <v>25</v>
      </c>
      <c r="E29" s="2" t="s">
        <v>13</v>
      </c>
      <c r="F29" s="2" t="s">
        <v>15</v>
      </c>
      <c r="G29" s="2" t="s">
        <v>15</v>
      </c>
      <c r="H29" s="2" t="s">
        <v>13</v>
      </c>
      <c r="I29" s="2" t="s">
        <v>15</v>
      </c>
      <c r="J29" s="9">
        <f t="shared" si="0"/>
        <v>0</v>
      </c>
      <c r="K29" s="7">
        <f t="shared" si="1"/>
        <v>0.8</v>
      </c>
      <c r="L29" s="9">
        <v>0.5</v>
      </c>
      <c r="M29" s="4" t="s">
        <v>13</v>
      </c>
      <c r="N29" s="4" t="s">
        <v>15</v>
      </c>
      <c r="O29" s="3" t="s">
        <v>13</v>
      </c>
      <c r="P29" s="3" t="s">
        <v>13</v>
      </c>
      <c r="Q29" s="4" t="s">
        <v>15</v>
      </c>
    </row>
    <row r="30" spans="1:17">
      <c r="A30" s="1">
        <v>2</v>
      </c>
      <c r="B30" s="2" t="s">
        <v>12</v>
      </c>
      <c r="C30" s="10">
        <v>12</v>
      </c>
      <c r="D30" s="2" t="s">
        <v>26</v>
      </c>
      <c r="E30" s="2" t="s">
        <v>13</v>
      </c>
      <c r="F30" s="2" t="s">
        <v>15</v>
      </c>
      <c r="G30" s="2" t="s">
        <v>15</v>
      </c>
      <c r="H30" s="2" t="s">
        <v>15</v>
      </c>
      <c r="I30" s="2" t="s">
        <v>15</v>
      </c>
      <c r="J30" s="9">
        <f t="shared" si="0"/>
        <v>-3</v>
      </c>
      <c r="K30" s="7">
        <f t="shared" si="1"/>
        <v>0.5</v>
      </c>
      <c r="L30" s="9">
        <v>0.5</v>
      </c>
      <c r="M30" s="4" t="s">
        <v>13</v>
      </c>
      <c r="N30" s="4" t="s">
        <v>15</v>
      </c>
      <c r="O30" s="4" t="s">
        <v>13</v>
      </c>
      <c r="P30" s="4" t="s">
        <v>15</v>
      </c>
      <c r="Q30" s="4" t="s">
        <v>15</v>
      </c>
    </row>
    <row r="31" spans="1:17">
      <c r="A31" s="1">
        <v>2</v>
      </c>
      <c r="B31" s="2" t="s">
        <v>12</v>
      </c>
      <c r="C31" s="10">
        <v>13</v>
      </c>
      <c r="D31" s="2" t="s">
        <v>27</v>
      </c>
      <c r="E31" s="2" t="s">
        <v>13</v>
      </c>
      <c r="F31" s="2" t="s">
        <v>13</v>
      </c>
      <c r="G31" s="2" t="s">
        <v>15</v>
      </c>
      <c r="H31" s="2" t="s">
        <v>13</v>
      </c>
      <c r="I31" s="2" t="s">
        <v>15</v>
      </c>
      <c r="J31" s="9">
        <f t="shared" si="0"/>
        <v>0</v>
      </c>
      <c r="K31" s="7">
        <f t="shared" si="1"/>
        <v>0.6</v>
      </c>
      <c r="L31" s="9">
        <v>0.5</v>
      </c>
      <c r="M31" s="4" t="s">
        <v>13</v>
      </c>
      <c r="N31" s="4" t="s">
        <v>15</v>
      </c>
      <c r="O31" s="4" t="s">
        <v>15</v>
      </c>
      <c r="P31" s="4" t="s">
        <v>13</v>
      </c>
      <c r="Q31" s="4" t="s">
        <v>13</v>
      </c>
    </row>
    <row r="32" spans="1:17">
      <c r="A32" s="1">
        <v>2</v>
      </c>
      <c r="B32" s="2" t="s">
        <v>12</v>
      </c>
      <c r="C32" s="10">
        <v>14</v>
      </c>
      <c r="D32" s="2" t="s">
        <v>28</v>
      </c>
      <c r="E32" s="2" t="s">
        <v>13</v>
      </c>
      <c r="F32" s="2" t="s">
        <v>15</v>
      </c>
      <c r="G32" s="2" t="s">
        <v>15</v>
      </c>
      <c r="H32" s="2" t="s">
        <v>15</v>
      </c>
      <c r="I32" s="2" t="s">
        <v>15</v>
      </c>
      <c r="J32" s="9">
        <f t="shared" si="0"/>
        <v>-3</v>
      </c>
      <c r="K32" s="7">
        <f t="shared" si="1"/>
        <v>0.5</v>
      </c>
      <c r="L32" s="9">
        <v>0.5</v>
      </c>
      <c r="M32" s="4" t="s">
        <v>13</v>
      </c>
      <c r="N32" s="4" t="s">
        <v>15</v>
      </c>
      <c r="O32" s="4" t="s">
        <v>13</v>
      </c>
      <c r="P32" s="4" t="s">
        <v>15</v>
      </c>
      <c r="Q32" s="4" t="s">
        <v>15</v>
      </c>
    </row>
    <row r="33" spans="1:17">
      <c r="A33" s="1">
        <v>2</v>
      </c>
      <c r="B33" s="2" t="s">
        <v>12</v>
      </c>
      <c r="C33" s="10">
        <v>15</v>
      </c>
      <c r="D33" s="2" t="s">
        <v>29</v>
      </c>
      <c r="E33" s="2" t="s">
        <v>13</v>
      </c>
      <c r="F33" s="2" t="s">
        <v>15</v>
      </c>
      <c r="G33" s="2" t="s">
        <v>15</v>
      </c>
      <c r="H33" s="2" t="s">
        <v>13</v>
      </c>
      <c r="I33" s="2" t="s">
        <v>15</v>
      </c>
      <c r="J33" s="9">
        <f t="shared" si="0"/>
        <v>0</v>
      </c>
      <c r="K33" s="7">
        <f t="shared" si="1"/>
        <v>0.6</v>
      </c>
      <c r="L33" s="9">
        <v>0.5</v>
      </c>
      <c r="M33" s="3" t="s">
        <v>13</v>
      </c>
      <c r="N33" s="3" t="s">
        <v>15</v>
      </c>
      <c r="O33" s="3" t="s">
        <v>15</v>
      </c>
      <c r="P33" s="3" t="s">
        <v>15</v>
      </c>
      <c r="Q33" s="3" t="s">
        <v>13</v>
      </c>
    </row>
    <row r="34" spans="1:17">
      <c r="A34" s="1">
        <v>2</v>
      </c>
      <c r="B34" s="2" t="s">
        <v>30</v>
      </c>
      <c r="C34" s="10">
        <v>16</v>
      </c>
      <c r="D34" s="2" t="s">
        <v>31</v>
      </c>
      <c r="E34" s="2" t="s">
        <v>13</v>
      </c>
      <c r="F34" s="2" t="s">
        <v>13</v>
      </c>
      <c r="G34" s="2" t="s">
        <v>13</v>
      </c>
      <c r="H34" s="2" t="s">
        <v>15</v>
      </c>
      <c r="I34" s="2" t="s">
        <v>15</v>
      </c>
      <c r="J34" s="9">
        <f t="shared" si="0"/>
        <v>-1</v>
      </c>
      <c r="K34" s="7">
        <f t="shared" si="1"/>
        <v>0.5</v>
      </c>
      <c r="L34" s="9">
        <v>0.5</v>
      </c>
      <c r="M34" s="4" t="s">
        <v>13</v>
      </c>
      <c r="N34" s="4" t="s">
        <v>15</v>
      </c>
      <c r="O34" s="4" t="s">
        <v>13</v>
      </c>
      <c r="P34" s="4" t="s">
        <v>15</v>
      </c>
      <c r="Q34" s="4" t="s">
        <v>13</v>
      </c>
    </row>
    <row r="35" spans="1:17">
      <c r="A35" s="1">
        <v>3</v>
      </c>
      <c r="B35" s="2" t="s">
        <v>12</v>
      </c>
      <c r="C35" s="10">
        <v>1</v>
      </c>
      <c r="D35" s="2" t="s">
        <v>32</v>
      </c>
      <c r="E35" s="2" t="s">
        <v>13</v>
      </c>
      <c r="F35" s="2" t="s">
        <v>15</v>
      </c>
      <c r="G35" s="2" t="s">
        <v>15</v>
      </c>
      <c r="H35" s="2" t="s">
        <v>15</v>
      </c>
      <c r="I35" s="2" t="s">
        <v>15</v>
      </c>
      <c r="J35" s="9">
        <f t="shared" si="0"/>
        <v>-3</v>
      </c>
      <c r="K35" s="7">
        <f t="shared" si="1"/>
        <v>0.5</v>
      </c>
      <c r="L35" s="9">
        <v>0.5</v>
      </c>
      <c r="M35" s="4" t="s">
        <v>13</v>
      </c>
      <c r="N35" s="4" t="s">
        <v>15</v>
      </c>
      <c r="O35" s="4" t="s">
        <v>13</v>
      </c>
      <c r="P35" s="4" t="s">
        <v>15</v>
      </c>
      <c r="Q35" s="4" t="s">
        <v>15</v>
      </c>
    </row>
    <row r="36" spans="1:17">
      <c r="A36" s="1">
        <v>3</v>
      </c>
      <c r="B36" s="2" t="s">
        <v>12</v>
      </c>
      <c r="C36" s="10">
        <v>2</v>
      </c>
      <c r="D36" s="2" t="s">
        <v>16</v>
      </c>
      <c r="E36" s="2" t="s">
        <v>13</v>
      </c>
      <c r="F36" s="2" t="s">
        <v>15</v>
      </c>
      <c r="G36" s="2" t="s">
        <v>13</v>
      </c>
      <c r="H36" s="2" t="s">
        <v>13</v>
      </c>
      <c r="I36" s="2" t="s">
        <v>15</v>
      </c>
      <c r="J36" s="9">
        <f t="shared" si="0"/>
        <v>0</v>
      </c>
      <c r="K36" s="7">
        <f t="shared" si="1"/>
        <v>1</v>
      </c>
      <c r="L36" s="9">
        <v>0.5</v>
      </c>
      <c r="M36" s="4" t="s">
        <v>13</v>
      </c>
      <c r="N36" s="4" t="s">
        <v>15</v>
      </c>
      <c r="O36" s="4" t="s">
        <v>13</v>
      </c>
      <c r="P36" s="4" t="s">
        <v>13</v>
      </c>
      <c r="Q36" s="4" t="s">
        <v>15</v>
      </c>
    </row>
    <row r="37" spans="1:17">
      <c r="A37" s="1">
        <v>3</v>
      </c>
      <c r="B37" s="2" t="s">
        <v>12</v>
      </c>
      <c r="C37" s="10">
        <v>3</v>
      </c>
      <c r="D37" s="2" t="s">
        <v>17</v>
      </c>
      <c r="E37" s="2" t="s">
        <v>13</v>
      </c>
      <c r="F37" s="2" t="s">
        <v>15</v>
      </c>
      <c r="G37" s="2" t="s">
        <v>15</v>
      </c>
      <c r="H37" s="2" t="s">
        <v>15</v>
      </c>
      <c r="I37" s="2" t="s">
        <v>15</v>
      </c>
      <c r="J37" s="9">
        <f t="shared" si="0"/>
        <v>-3</v>
      </c>
      <c r="K37" s="7">
        <f t="shared" si="1"/>
        <v>0.5</v>
      </c>
      <c r="L37" s="9">
        <v>0.5</v>
      </c>
      <c r="M37" s="4" t="s">
        <v>13</v>
      </c>
      <c r="N37" s="4" t="s">
        <v>15</v>
      </c>
      <c r="O37" s="4" t="s">
        <v>13</v>
      </c>
      <c r="P37" s="4" t="s">
        <v>15</v>
      </c>
      <c r="Q37" s="4" t="s">
        <v>15</v>
      </c>
    </row>
    <row r="38" spans="1:17">
      <c r="A38" s="1">
        <v>3</v>
      </c>
      <c r="B38" s="2" t="s">
        <v>12</v>
      </c>
      <c r="C38" s="10">
        <v>4</v>
      </c>
      <c r="D38" s="2" t="s">
        <v>18</v>
      </c>
      <c r="E38" s="2" t="s">
        <v>13</v>
      </c>
      <c r="F38" s="2" t="s">
        <v>13</v>
      </c>
      <c r="G38" s="2" t="s">
        <v>15</v>
      </c>
      <c r="H38" s="2" t="s">
        <v>13</v>
      </c>
      <c r="I38" s="2" t="s">
        <v>15</v>
      </c>
      <c r="J38" s="9">
        <f t="shared" si="0"/>
        <v>0</v>
      </c>
      <c r="K38" s="7">
        <f t="shared" si="1"/>
        <v>0.4</v>
      </c>
      <c r="L38" s="9">
        <v>0.5</v>
      </c>
      <c r="M38" s="4" t="s">
        <v>13</v>
      </c>
      <c r="N38" s="4" t="s">
        <v>15</v>
      </c>
      <c r="O38" s="4" t="s">
        <v>13</v>
      </c>
      <c r="P38" s="4" t="s">
        <v>13</v>
      </c>
      <c r="Q38" s="4" t="s">
        <v>13</v>
      </c>
    </row>
    <row r="39" spans="1:17">
      <c r="A39" s="1">
        <v>3</v>
      </c>
      <c r="B39" s="2" t="s">
        <v>12</v>
      </c>
      <c r="C39" s="10">
        <v>5</v>
      </c>
      <c r="D39" s="2" t="s">
        <v>19</v>
      </c>
      <c r="E39" s="2" t="s">
        <v>13</v>
      </c>
      <c r="F39" s="2" t="s">
        <v>15</v>
      </c>
      <c r="G39" s="2" t="s">
        <v>15</v>
      </c>
      <c r="H39" s="2" t="s">
        <v>15</v>
      </c>
      <c r="I39" s="2" t="s">
        <v>15</v>
      </c>
      <c r="J39" s="9">
        <f t="shared" si="0"/>
        <v>-3</v>
      </c>
      <c r="K39" s="7">
        <f t="shared" si="1"/>
        <v>0.5</v>
      </c>
      <c r="L39" s="9">
        <v>0.5</v>
      </c>
      <c r="M39" s="4" t="s">
        <v>13</v>
      </c>
      <c r="N39" s="4" t="s">
        <v>15</v>
      </c>
      <c r="O39" s="4" t="s">
        <v>13</v>
      </c>
      <c r="P39" s="4" t="s">
        <v>15</v>
      </c>
      <c r="Q39" s="4" t="s">
        <v>15</v>
      </c>
    </row>
    <row r="40" spans="1:17">
      <c r="A40" s="1">
        <v>3</v>
      </c>
      <c r="B40" s="2" t="s">
        <v>12</v>
      </c>
      <c r="C40" s="10">
        <v>6</v>
      </c>
      <c r="D40" s="2" t="s">
        <v>20</v>
      </c>
      <c r="E40" s="2" t="s">
        <v>13</v>
      </c>
      <c r="F40" s="2" t="s">
        <v>15</v>
      </c>
      <c r="G40" s="2" t="s">
        <v>15</v>
      </c>
      <c r="H40" s="2" t="s">
        <v>13</v>
      </c>
      <c r="I40" s="2" t="s">
        <v>15</v>
      </c>
      <c r="J40" s="9">
        <f t="shared" si="0"/>
        <v>0</v>
      </c>
      <c r="K40" s="7">
        <f t="shared" si="1"/>
        <v>0.8</v>
      </c>
      <c r="L40" s="9">
        <v>0.5</v>
      </c>
      <c r="M40" s="4" t="s">
        <v>13</v>
      </c>
      <c r="N40" s="4" t="s">
        <v>15</v>
      </c>
      <c r="O40" s="4" t="s">
        <v>13</v>
      </c>
      <c r="P40" s="4" t="s">
        <v>13</v>
      </c>
      <c r="Q40" s="4" t="s">
        <v>15</v>
      </c>
    </row>
    <row r="41" spans="1:17">
      <c r="A41" s="1">
        <v>3</v>
      </c>
      <c r="B41" s="2" t="s">
        <v>12</v>
      </c>
      <c r="C41" s="10">
        <v>7</v>
      </c>
      <c r="D41" s="2" t="s">
        <v>21</v>
      </c>
      <c r="E41" s="2" t="s">
        <v>13</v>
      </c>
      <c r="F41" s="2" t="s">
        <v>15</v>
      </c>
      <c r="G41" s="2" t="s">
        <v>15</v>
      </c>
      <c r="H41" s="2" t="s">
        <v>15</v>
      </c>
      <c r="I41" s="2" t="s">
        <v>15</v>
      </c>
      <c r="J41" s="9">
        <f t="shared" si="0"/>
        <v>-3</v>
      </c>
      <c r="K41" s="7">
        <f t="shared" si="1"/>
        <v>0.5</v>
      </c>
      <c r="L41" s="9">
        <v>0.5</v>
      </c>
      <c r="M41" s="4" t="s">
        <v>13</v>
      </c>
      <c r="N41" s="4" t="s">
        <v>15</v>
      </c>
      <c r="O41" s="4" t="s">
        <v>13</v>
      </c>
      <c r="P41" s="4" t="s">
        <v>15</v>
      </c>
      <c r="Q41" s="4" t="s">
        <v>15</v>
      </c>
    </row>
    <row r="42" spans="1:17">
      <c r="A42" s="1">
        <v>3</v>
      </c>
      <c r="B42" s="2" t="s">
        <v>12</v>
      </c>
      <c r="C42" s="10">
        <v>8</v>
      </c>
      <c r="D42" s="2" t="s">
        <v>22</v>
      </c>
      <c r="E42" s="2" t="s">
        <v>13</v>
      </c>
      <c r="F42" s="2" t="s">
        <v>15</v>
      </c>
      <c r="G42" s="2" t="s">
        <v>15</v>
      </c>
      <c r="H42" s="2" t="s">
        <v>13</v>
      </c>
      <c r="I42" s="2" t="s">
        <v>15</v>
      </c>
      <c r="J42" s="9">
        <f t="shared" si="0"/>
        <v>0</v>
      </c>
      <c r="K42" s="7">
        <f t="shared" si="1"/>
        <v>1</v>
      </c>
      <c r="L42" s="9">
        <v>0.5</v>
      </c>
      <c r="M42" s="4" t="s">
        <v>13</v>
      </c>
      <c r="N42" s="4" t="s">
        <v>15</v>
      </c>
      <c r="O42" s="4" t="s">
        <v>15</v>
      </c>
      <c r="P42" s="4" t="s">
        <v>13</v>
      </c>
      <c r="Q42" s="4" t="s">
        <v>15</v>
      </c>
    </row>
    <row r="43" spans="1:17">
      <c r="A43" s="1">
        <v>3</v>
      </c>
      <c r="B43" s="2" t="s">
        <v>12</v>
      </c>
      <c r="C43" s="10">
        <v>9</v>
      </c>
      <c r="D43" s="2" t="s">
        <v>23</v>
      </c>
      <c r="E43" s="2" t="s">
        <v>13</v>
      </c>
      <c r="F43" s="2" t="s">
        <v>15</v>
      </c>
      <c r="G43" s="2" t="s">
        <v>15</v>
      </c>
      <c r="H43" s="2" t="s">
        <v>15</v>
      </c>
      <c r="I43" s="2" t="s">
        <v>15</v>
      </c>
      <c r="J43" s="9">
        <f t="shared" si="0"/>
        <v>-3</v>
      </c>
      <c r="K43" s="7">
        <f t="shared" si="1"/>
        <v>0.5</v>
      </c>
      <c r="L43" s="9">
        <v>0.5</v>
      </c>
      <c r="M43" s="4" t="s">
        <v>13</v>
      </c>
      <c r="N43" s="4" t="s">
        <v>15</v>
      </c>
      <c r="O43" s="4" t="s">
        <v>13</v>
      </c>
      <c r="P43" s="4" t="s">
        <v>15</v>
      </c>
      <c r="Q43" s="4" t="s">
        <v>15</v>
      </c>
    </row>
    <row r="44" spans="1:17">
      <c r="A44" s="1">
        <v>3</v>
      </c>
      <c r="B44" s="2" t="s">
        <v>12</v>
      </c>
      <c r="C44" s="10">
        <v>10</v>
      </c>
      <c r="D44" s="2" t="s">
        <v>24</v>
      </c>
      <c r="E44" s="2" t="s">
        <v>13</v>
      </c>
      <c r="F44" s="2" t="s">
        <v>15</v>
      </c>
      <c r="G44" s="2" t="s">
        <v>15</v>
      </c>
      <c r="H44" s="2" t="s">
        <v>13</v>
      </c>
      <c r="I44" s="2" t="s">
        <v>15</v>
      </c>
      <c r="J44" s="9">
        <f t="shared" si="0"/>
        <v>0</v>
      </c>
      <c r="K44" s="7">
        <f t="shared" si="1"/>
        <v>0.8</v>
      </c>
      <c r="L44" s="9">
        <v>0.5</v>
      </c>
      <c r="M44" s="4" t="s">
        <v>13</v>
      </c>
      <c r="N44" s="4" t="s">
        <v>15</v>
      </c>
      <c r="O44" s="4" t="s">
        <v>13</v>
      </c>
      <c r="P44" s="4" t="s">
        <v>13</v>
      </c>
      <c r="Q44" s="4" t="s">
        <v>15</v>
      </c>
    </row>
    <row r="45" spans="1:17">
      <c r="A45" s="1">
        <v>3</v>
      </c>
      <c r="B45" s="2" t="s">
        <v>12</v>
      </c>
      <c r="C45" s="10">
        <v>11</v>
      </c>
      <c r="D45" s="2" t="s">
        <v>25</v>
      </c>
      <c r="E45" s="2" t="s">
        <v>13</v>
      </c>
      <c r="F45" s="2" t="s">
        <v>15</v>
      </c>
      <c r="G45" s="2" t="s">
        <v>15</v>
      </c>
      <c r="H45" s="2" t="s">
        <v>13</v>
      </c>
      <c r="I45" s="2" t="s">
        <v>15</v>
      </c>
      <c r="J45" s="9">
        <f t="shared" si="0"/>
        <v>0</v>
      </c>
      <c r="K45" s="7">
        <f t="shared" si="1"/>
        <v>1</v>
      </c>
      <c r="L45" s="9">
        <v>0.5</v>
      </c>
      <c r="M45" s="4" t="s">
        <v>13</v>
      </c>
      <c r="N45" s="4" t="s">
        <v>15</v>
      </c>
      <c r="O45" s="4" t="s">
        <v>15</v>
      </c>
      <c r="P45" s="4" t="s">
        <v>13</v>
      </c>
      <c r="Q45" s="4" t="s">
        <v>15</v>
      </c>
    </row>
    <row r="46" spans="1:17">
      <c r="A46" s="1">
        <v>3</v>
      </c>
      <c r="B46" s="2" t="s">
        <v>12</v>
      </c>
      <c r="C46" s="10">
        <v>12</v>
      </c>
      <c r="D46" s="2" t="s">
        <v>26</v>
      </c>
      <c r="E46" s="2" t="s">
        <v>13</v>
      </c>
      <c r="F46" s="2" t="s">
        <v>15</v>
      </c>
      <c r="G46" s="2" t="s">
        <v>15</v>
      </c>
      <c r="H46" s="2" t="s">
        <v>15</v>
      </c>
      <c r="I46" s="2" t="s">
        <v>15</v>
      </c>
      <c r="J46" s="9">
        <f t="shared" si="0"/>
        <v>-3</v>
      </c>
      <c r="K46" s="7">
        <f t="shared" si="1"/>
        <v>0.5</v>
      </c>
      <c r="L46" s="9">
        <v>0.5</v>
      </c>
      <c r="M46" s="4" t="s">
        <v>13</v>
      </c>
      <c r="N46" s="4" t="s">
        <v>15</v>
      </c>
      <c r="O46" s="4" t="s">
        <v>13</v>
      </c>
      <c r="P46" s="4" t="s">
        <v>15</v>
      </c>
      <c r="Q46" s="4" t="s">
        <v>15</v>
      </c>
    </row>
    <row r="47" spans="1:17">
      <c r="A47" s="1">
        <v>3</v>
      </c>
      <c r="B47" s="2" t="s">
        <v>12</v>
      </c>
      <c r="C47" s="10">
        <v>13</v>
      </c>
      <c r="D47" s="2" t="s">
        <v>27</v>
      </c>
      <c r="E47" s="2" t="s">
        <v>13</v>
      </c>
      <c r="F47" s="2" t="s">
        <v>15</v>
      </c>
      <c r="G47" s="2" t="s">
        <v>15</v>
      </c>
      <c r="H47" s="2" t="s">
        <v>13</v>
      </c>
      <c r="I47" s="2" t="s">
        <v>13</v>
      </c>
      <c r="J47" s="9">
        <f t="shared" si="0"/>
        <v>0</v>
      </c>
      <c r="K47" s="7">
        <f t="shared" si="1"/>
        <v>0.8</v>
      </c>
      <c r="L47" s="9">
        <v>0.5</v>
      </c>
      <c r="M47" s="4" t="s">
        <v>13</v>
      </c>
      <c r="N47" s="4" t="s">
        <v>15</v>
      </c>
      <c r="O47" s="4" t="s">
        <v>15</v>
      </c>
      <c r="P47" s="4" t="s">
        <v>13</v>
      </c>
      <c r="Q47" s="4" t="s">
        <v>15</v>
      </c>
    </row>
    <row r="48" spans="1:17">
      <c r="A48" s="1">
        <v>3</v>
      </c>
      <c r="B48" s="2" t="s">
        <v>12</v>
      </c>
      <c r="C48" s="10">
        <v>14</v>
      </c>
      <c r="D48" s="2" t="s">
        <v>28</v>
      </c>
      <c r="E48" s="2" t="s">
        <v>13</v>
      </c>
      <c r="F48" s="2" t="s">
        <v>15</v>
      </c>
      <c r="G48" s="2" t="s">
        <v>15</v>
      </c>
      <c r="H48" s="2" t="s">
        <v>15</v>
      </c>
      <c r="I48" s="2" t="s">
        <v>15</v>
      </c>
      <c r="J48" s="9">
        <f t="shared" si="0"/>
        <v>-3</v>
      </c>
      <c r="K48" s="7">
        <f t="shared" si="1"/>
        <v>0.5</v>
      </c>
      <c r="L48" s="9">
        <v>0.5</v>
      </c>
      <c r="M48" s="4" t="s">
        <v>13</v>
      </c>
      <c r="N48" s="4" t="s">
        <v>15</v>
      </c>
      <c r="O48" s="4" t="s">
        <v>13</v>
      </c>
      <c r="P48" s="4" t="s">
        <v>15</v>
      </c>
      <c r="Q48" s="4" t="s">
        <v>15</v>
      </c>
    </row>
    <row r="49" spans="1:17">
      <c r="A49" s="1">
        <v>3</v>
      </c>
      <c r="B49" s="2" t="s">
        <v>12</v>
      </c>
      <c r="C49" s="10">
        <v>15</v>
      </c>
      <c r="D49" s="2" t="s">
        <v>29</v>
      </c>
      <c r="E49" s="2" t="s">
        <v>13</v>
      </c>
      <c r="F49" s="2" t="s">
        <v>15</v>
      </c>
      <c r="G49" s="2" t="s">
        <v>15</v>
      </c>
      <c r="H49" s="2" t="s">
        <v>13</v>
      </c>
      <c r="I49" s="2" t="s">
        <v>15</v>
      </c>
      <c r="J49" s="9">
        <f t="shared" si="0"/>
        <v>0</v>
      </c>
      <c r="K49" s="7">
        <f t="shared" si="1"/>
        <v>0</v>
      </c>
      <c r="L49" s="9">
        <v>0.5</v>
      </c>
      <c r="M49" s="15"/>
      <c r="N49" s="15"/>
      <c r="O49" s="15"/>
      <c r="P49" s="15"/>
      <c r="Q49" s="15"/>
    </row>
    <row r="50" spans="1:17">
      <c r="A50" s="1">
        <v>3</v>
      </c>
      <c r="B50" s="2" t="s">
        <v>30</v>
      </c>
      <c r="C50" s="10">
        <v>16</v>
      </c>
      <c r="D50" s="2" t="s">
        <v>31</v>
      </c>
      <c r="E50" s="2" t="s">
        <v>13</v>
      </c>
      <c r="F50" s="2" t="s">
        <v>15</v>
      </c>
      <c r="G50" s="2" t="s">
        <v>15</v>
      </c>
      <c r="H50" s="2" t="s">
        <v>15</v>
      </c>
      <c r="I50" s="2" t="s">
        <v>13</v>
      </c>
      <c r="J50" s="9">
        <f t="shared" si="0"/>
        <v>-1</v>
      </c>
      <c r="K50" s="7">
        <f t="shared" si="1"/>
        <v>-0.25</v>
      </c>
      <c r="L50" s="9">
        <v>0.5</v>
      </c>
      <c r="M50" s="15"/>
      <c r="N50" s="15"/>
      <c r="O50" s="15"/>
      <c r="P50" s="15"/>
      <c r="Q50" s="15"/>
    </row>
    <row r="51" spans="1:17">
      <c r="A51" s="1">
        <v>4</v>
      </c>
      <c r="B51" s="2" t="s">
        <v>12</v>
      </c>
      <c r="C51" s="10">
        <v>1</v>
      </c>
      <c r="D51" s="2" t="s">
        <v>32</v>
      </c>
      <c r="E51" s="2" t="s">
        <v>13</v>
      </c>
      <c r="F51" s="2" t="s">
        <v>15</v>
      </c>
      <c r="G51" s="2" t="s">
        <v>13</v>
      </c>
      <c r="H51" s="2" t="s">
        <v>15</v>
      </c>
      <c r="I51" s="2" t="s">
        <v>15</v>
      </c>
      <c r="J51" s="9">
        <f t="shared" si="0"/>
        <v>-3</v>
      </c>
      <c r="K51" s="8"/>
      <c r="L51" s="9">
        <v>0.5</v>
      </c>
      <c r="M51"/>
      <c r="N51"/>
      <c r="O51"/>
      <c r="P51"/>
      <c r="Q51"/>
    </row>
    <row r="52" spans="1:17">
      <c r="A52" s="1">
        <v>4</v>
      </c>
      <c r="B52" s="2" t="s">
        <v>12</v>
      </c>
      <c r="C52" s="10">
        <v>2</v>
      </c>
      <c r="D52" s="2" t="s">
        <v>16</v>
      </c>
      <c r="E52" s="2" t="s">
        <v>15</v>
      </c>
      <c r="F52" s="2" t="s">
        <v>15</v>
      </c>
      <c r="G52" s="2" t="s">
        <v>15</v>
      </c>
      <c r="H52" s="2" t="s">
        <v>13</v>
      </c>
      <c r="I52" s="2" t="s">
        <v>15</v>
      </c>
      <c r="J52" s="9">
        <f t="shared" si="0"/>
        <v>0</v>
      </c>
      <c r="K52" s="8"/>
      <c r="L52" s="9">
        <v>0.5</v>
      </c>
      <c r="M52"/>
      <c r="N52"/>
      <c r="O52"/>
      <c r="P52"/>
      <c r="Q52"/>
    </row>
    <row r="53" spans="1:17">
      <c r="A53" s="1">
        <v>4</v>
      </c>
      <c r="B53" s="2" t="s">
        <v>12</v>
      </c>
      <c r="C53" s="10">
        <v>3</v>
      </c>
      <c r="D53" s="2" t="s">
        <v>17</v>
      </c>
      <c r="E53" s="2" t="s">
        <v>13</v>
      </c>
      <c r="F53" s="2" t="s">
        <v>15</v>
      </c>
      <c r="G53" s="2" t="s">
        <v>13</v>
      </c>
      <c r="H53" s="2" t="s">
        <v>15</v>
      </c>
      <c r="I53" s="2" t="s">
        <v>15</v>
      </c>
      <c r="J53" s="9">
        <f t="shared" si="0"/>
        <v>-3</v>
      </c>
      <c r="K53" s="8"/>
      <c r="L53" s="9">
        <v>0.5</v>
      </c>
      <c r="M53"/>
      <c r="N53"/>
      <c r="O53"/>
      <c r="P53"/>
      <c r="Q53"/>
    </row>
    <row r="54" spans="1:17">
      <c r="A54" s="1">
        <v>4</v>
      </c>
      <c r="B54" s="2" t="s">
        <v>12</v>
      </c>
      <c r="C54" s="10">
        <v>4</v>
      </c>
      <c r="D54" s="2" t="s">
        <v>18</v>
      </c>
      <c r="E54" s="2" t="s">
        <v>15</v>
      </c>
      <c r="F54" s="2" t="s">
        <v>15</v>
      </c>
      <c r="G54" s="2" t="s">
        <v>13</v>
      </c>
      <c r="H54" s="2" t="s">
        <v>13</v>
      </c>
      <c r="I54" s="2" t="s">
        <v>15</v>
      </c>
      <c r="J54" s="9">
        <f t="shared" si="0"/>
        <v>0</v>
      </c>
      <c r="K54" s="8"/>
      <c r="L54" s="9">
        <v>0.5</v>
      </c>
      <c r="M54"/>
      <c r="N54"/>
      <c r="O54"/>
      <c r="P54"/>
      <c r="Q54"/>
    </row>
    <row r="55" spans="1:17">
      <c r="A55" s="1">
        <v>4</v>
      </c>
      <c r="B55" s="2" t="s">
        <v>12</v>
      </c>
      <c r="C55" s="10">
        <v>5</v>
      </c>
      <c r="D55" s="2" t="s">
        <v>19</v>
      </c>
      <c r="E55" s="2" t="s">
        <v>13</v>
      </c>
      <c r="F55" s="2" t="s">
        <v>15</v>
      </c>
      <c r="G55" s="2" t="s">
        <v>13</v>
      </c>
      <c r="H55" s="2" t="s">
        <v>15</v>
      </c>
      <c r="I55" s="2" t="s">
        <v>15</v>
      </c>
      <c r="J55" s="9">
        <f t="shared" si="0"/>
        <v>-3</v>
      </c>
      <c r="K55" s="8"/>
      <c r="L55" s="9">
        <v>0.5</v>
      </c>
      <c r="M55"/>
      <c r="N55"/>
      <c r="O55"/>
      <c r="P55"/>
      <c r="Q55"/>
    </row>
    <row r="56" spans="1:17">
      <c r="A56" s="1">
        <v>4</v>
      </c>
      <c r="B56" s="2" t="s">
        <v>12</v>
      </c>
      <c r="C56" s="10">
        <v>6</v>
      </c>
      <c r="D56" s="2" t="s">
        <v>20</v>
      </c>
      <c r="E56" s="2" t="s">
        <v>15</v>
      </c>
      <c r="F56" s="2" t="s">
        <v>15</v>
      </c>
      <c r="G56" s="2" t="s">
        <v>15</v>
      </c>
      <c r="H56" s="2" t="s">
        <v>13</v>
      </c>
      <c r="I56" s="2" t="s">
        <v>15</v>
      </c>
      <c r="J56" s="9">
        <f t="shared" si="0"/>
        <v>0</v>
      </c>
      <c r="K56" s="8"/>
      <c r="L56" s="9">
        <v>0.5</v>
      </c>
      <c r="M56"/>
      <c r="N56"/>
      <c r="O56"/>
      <c r="P56"/>
      <c r="Q56"/>
    </row>
    <row r="57" spans="1:17">
      <c r="A57" s="1">
        <v>4</v>
      </c>
      <c r="B57" s="2" t="s">
        <v>12</v>
      </c>
      <c r="C57" s="10">
        <v>7</v>
      </c>
      <c r="D57" s="2" t="s">
        <v>21</v>
      </c>
      <c r="E57" s="2" t="s">
        <v>13</v>
      </c>
      <c r="F57" s="2" t="s">
        <v>15</v>
      </c>
      <c r="G57" s="2" t="s">
        <v>13</v>
      </c>
      <c r="H57" s="2" t="s">
        <v>15</v>
      </c>
      <c r="I57" s="2" t="s">
        <v>15</v>
      </c>
      <c r="J57" s="9">
        <f t="shared" si="0"/>
        <v>-3</v>
      </c>
      <c r="K57" s="8"/>
      <c r="L57" s="9">
        <v>0.5</v>
      </c>
      <c r="M57"/>
      <c r="N57"/>
      <c r="O57"/>
      <c r="P57"/>
      <c r="Q57"/>
    </row>
    <row r="58" spans="1:17">
      <c r="A58" s="1">
        <v>4</v>
      </c>
      <c r="B58" s="2" t="s">
        <v>12</v>
      </c>
      <c r="C58" s="10">
        <v>8</v>
      </c>
      <c r="D58" s="2" t="s">
        <v>22</v>
      </c>
      <c r="E58" s="2" t="s">
        <v>15</v>
      </c>
      <c r="F58" s="2" t="s">
        <v>15</v>
      </c>
      <c r="G58" s="2" t="s">
        <v>15</v>
      </c>
      <c r="H58" s="2" t="s">
        <v>13</v>
      </c>
      <c r="I58" s="2" t="s">
        <v>15</v>
      </c>
      <c r="J58" s="9">
        <f t="shared" si="0"/>
        <v>0</v>
      </c>
      <c r="K58" s="8"/>
      <c r="L58" s="9">
        <v>0.5</v>
      </c>
      <c r="M58"/>
      <c r="N58"/>
      <c r="O58"/>
      <c r="P58"/>
      <c r="Q58"/>
    </row>
    <row r="59" spans="1:17">
      <c r="A59" s="1">
        <v>4</v>
      </c>
      <c r="B59" s="2" t="s">
        <v>12</v>
      </c>
      <c r="C59" s="10">
        <v>9</v>
      </c>
      <c r="D59" s="2" t="s">
        <v>23</v>
      </c>
      <c r="E59" s="2" t="s">
        <v>13</v>
      </c>
      <c r="F59" s="2" t="s">
        <v>15</v>
      </c>
      <c r="G59" s="2" t="s">
        <v>13</v>
      </c>
      <c r="H59" s="2" t="s">
        <v>15</v>
      </c>
      <c r="I59" s="2" t="s">
        <v>15</v>
      </c>
      <c r="J59" s="9">
        <f t="shared" si="0"/>
        <v>-3</v>
      </c>
      <c r="K59" s="8"/>
      <c r="L59" s="9">
        <v>0.5</v>
      </c>
      <c r="M59"/>
      <c r="N59"/>
      <c r="O59"/>
      <c r="P59"/>
      <c r="Q59"/>
    </row>
    <row r="60" spans="1:17">
      <c r="A60" s="1">
        <v>4</v>
      </c>
      <c r="B60" s="2" t="s">
        <v>12</v>
      </c>
      <c r="C60" s="10">
        <v>10</v>
      </c>
      <c r="D60" s="2" t="s">
        <v>24</v>
      </c>
      <c r="E60" s="2" t="s">
        <v>15</v>
      </c>
      <c r="F60" s="2" t="s">
        <v>15</v>
      </c>
      <c r="G60" s="2" t="s">
        <v>15</v>
      </c>
      <c r="H60" s="2" t="s">
        <v>13</v>
      </c>
      <c r="I60" s="2" t="s">
        <v>15</v>
      </c>
      <c r="J60" s="9">
        <f t="shared" si="0"/>
        <v>0</v>
      </c>
      <c r="K60" s="8"/>
      <c r="L60" s="9">
        <v>0.5</v>
      </c>
      <c r="M60"/>
      <c r="N60"/>
      <c r="O60"/>
      <c r="P60"/>
      <c r="Q60"/>
    </row>
    <row r="61" spans="1:17">
      <c r="A61" s="1">
        <v>4</v>
      </c>
      <c r="B61" s="2" t="s">
        <v>12</v>
      </c>
      <c r="C61" s="10">
        <v>11</v>
      </c>
      <c r="D61" s="2" t="s">
        <v>25</v>
      </c>
      <c r="E61" s="2" t="s">
        <v>15</v>
      </c>
      <c r="F61" s="2" t="s">
        <v>15</v>
      </c>
      <c r="G61" s="2" t="s">
        <v>15</v>
      </c>
      <c r="H61" s="2" t="s">
        <v>13</v>
      </c>
      <c r="I61" s="2" t="s">
        <v>15</v>
      </c>
      <c r="J61" s="9">
        <f t="shared" si="0"/>
        <v>0</v>
      </c>
      <c r="K61" s="8"/>
      <c r="L61" s="9">
        <v>0.5</v>
      </c>
      <c r="M61"/>
      <c r="N61"/>
      <c r="O61"/>
      <c r="P61"/>
      <c r="Q61"/>
    </row>
    <row r="62" spans="1:17">
      <c r="A62" s="1">
        <v>4</v>
      </c>
      <c r="B62" s="2" t="s">
        <v>12</v>
      </c>
      <c r="C62" s="10">
        <v>12</v>
      </c>
      <c r="D62" s="2" t="s">
        <v>26</v>
      </c>
      <c r="E62" s="2" t="s">
        <v>13</v>
      </c>
      <c r="F62" s="2" t="s">
        <v>15</v>
      </c>
      <c r="G62" s="2" t="s">
        <v>13</v>
      </c>
      <c r="H62" s="2" t="s">
        <v>15</v>
      </c>
      <c r="I62" s="2" t="s">
        <v>15</v>
      </c>
      <c r="J62" s="9">
        <f t="shared" si="0"/>
        <v>-3</v>
      </c>
      <c r="K62" s="8"/>
      <c r="L62" s="9">
        <v>0.5</v>
      </c>
      <c r="M62"/>
      <c r="N62"/>
      <c r="O62"/>
      <c r="P62"/>
      <c r="Q62"/>
    </row>
    <row r="63" spans="1:17">
      <c r="A63" s="1">
        <v>4</v>
      </c>
      <c r="B63" s="2" t="s">
        <v>12</v>
      </c>
      <c r="C63" s="10">
        <v>13</v>
      </c>
      <c r="D63" s="2" t="s">
        <v>27</v>
      </c>
      <c r="E63" s="2" t="s">
        <v>15</v>
      </c>
      <c r="F63" s="2" t="s">
        <v>15</v>
      </c>
      <c r="G63" s="2" t="s">
        <v>15</v>
      </c>
      <c r="H63" s="2" t="s">
        <v>13</v>
      </c>
      <c r="I63" s="2" t="s">
        <v>15</v>
      </c>
      <c r="J63" s="9">
        <f t="shared" si="0"/>
        <v>0</v>
      </c>
      <c r="K63" s="8"/>
      <c r="L63" s="9">
        <v>0.5</v>
      </c>
      <c r="M63"/>
      <c r="N63"/>
      <c r="O63"/>
      <c r="P63"/>
      <c r="Q63"/>
    </row>
    <row r="64" spans="1:17">
      <c r="A64" s="1">
        <v>4</v>
      </c>
      <c r="B64" s="2" t="s">
        <v>12</v>
      </c>
      <c r="C64" s="10">
        <v>14</v>
      </c>
      <c r="D64" s="2" t="s">
        <v>28</v>
      </c>
      <c r="E64" s="2" t="s">
        <v>13</v>
      </c>
      <c r="F64" s="2" t="s">
        <v>15</v>
      </c>
      <c r="G64" s="2" t="s">
        <v>13</v>
      </c>
      <c r="H64" s="2" t="s">
        <v>15</v>
      </c>
      <c r="I64" s="2" t="s">
        <v>15</v>
      </c>
      <c r="J64" s="9">
        <f t="shared" si="0"/>
        <v>-3</v>
      </c>
      <c r="K64" s="8"/>
      <c r="L64" s="9">
        <v>0.5</v>
      </c>
      <c r="M64"/>
      <c r="N64"/>
      <c r="O64"/>
      <c r="P64"/>
      <c r="Q64"/>
    </row>
    <row r="65" spans="1:17">
      <c r="A65" s="1">
        <v>4</v>
      </c>
      <c r="B65" s="2" t="s">
        <v>12</v>
      </c>
      <c r="C65" s="10">
        <v>15</v>
      </c>
      <c r="D65" s="2" t="s">
        <v>29</v>
      </c>
      <c r="E65" s="2" t="s">
        <v>15</v>
      </c>
      <c r="F65" s="2" t="s">
        <v>15</v>
      </c>
      <c r="G65" s="2" t="s">
        <v>15</v>
      </c>
      <c r="H65" s="2" t="s">
        <v>13</v>
      </c>
      <c r="I65" s="2" t="s">
        <v>15</v>
      </c>
      <c r="J65" s="9">
        <f t="shared" si="0"/>
        <v>0</v>
      </c>
      <c r="K65" s="8"/>
      <c r="L65" s="9">
        <v>0.5</v>
      </c>
      <c r="M65"/>
      <c r="N65"/>
      <c r="O65"/>
      <c r="P65"/>
      <c r="Q65"/>
    </row>
    <row r="66" spans="1:17">
      <c r="A66" s="1">
        <v>4</v>
      </c>
      <c r="B66" s="2" t="s">
        <v>30</v>
      </c>
      <c r="C66" s="10">
        <v>16</v>
      </c>
      <c r="D66" s="2" t="s">
        <v>31</v>
      </c>
      <c r="E66" s="2" t="s">
        <v>13</v>
      </c>
      <c r="F66" s="2" t="s">
        <v>15</v>
      </c>
      <c r="G66" s="2" t="s">
        <v>13</v>
      </c>
      <c r="H66" s="2" t="s">
        <v>15</v>
      </c>
      <c r="I66" s="2" t="s">
        <v>13</v>
      </c>
      <c r="J66" s="9">
        <f t="shared" si="0"/>
        <v>-1</v>
      </c>
      <c r="K66" s="8"/>
      <c r="L66" s="9">
        <v>0.5</v>
      </c>
      <c r="M66"/>
      <c r="N66"/>
      <c r="O66"/>
      <c r="P66"/>
      <c r="Q66"/>
    </row>
    <row r="67" spans="1:17">
      <c r="A67" s="1">
        <v>5</v>
      </c>
      <c r="B67" s="2" t="s">
        <v>12</v>
      </c>
      <c r="C67" s="10">
        <v>1</v>
      </c>
      <c r="D67" s="2" t="s">
        <v>32</v>
      </c>
      <c r="E67" s="2" t="s">
        <v>13</v>
      </c>
      <c r="F67" s="2" t="s">
        <v>15</v>
      </c>
      <c r="G67" s="2" t="s">
        <v>13</v>
      </c>
      <c r="H67" s="2" t="s">
        <v>15</v>
      </c>
      <c r="I67" s="2" t="s">
        <v>15</v>
      </c>
      <c r="J67" s="9">
        <f t="shared" si="0"/>
        <v>-3</v>
      </c>
      <c r="K67" s="8"/>
      <c r="L67" s="9">
        <v>0.5</v>
      </c>
      <c r="M67"/>
      <c r="N67"/>
      <c r="O67"/>
      <c r="P67"/>
      <c r="Q67"/>
    </row>
    <row r="68" spans="1:17">
      <c r="A68" s="1">
        <v>5</v>
      </c>
      <c r="B68" s="2" t="s">
        <v>12</v>
      </c>
      <c r="C68" s="10">
        <v>2</v>
      </c>
      <c r="D68" s="2" t="s">
        <v>16</v>
      </c>
      <c r="E68" s="2" t="s">
        <v>15</v>
      </c>
      <c r="F68" s="2" t="s">
        <v>15</v>
      </c>
      <c r="G68" s="2" t="s">
        <v>15</v>
      </c>
      <c r="H68" s="2" t="s">
        <v>13</v>
      </c>
      <c r="I68" s="2" t="s">
        <v>15</v>
      </c>
      <c r="J68" s="9">
        <f t="shared" ref="J68:J131" si="2">IF(OR(C68=1,C68=3,C68=5,C68=7,C68=9,C68=12,C68=14),-3,IF(OR(C68=2,C68=4,C68=6,C68=8,C68=10,C68=11,C68=13,C68=15),0,-1))</f>
        <v>0</v>
      </c>
      <c r="K68" s="8"/>
      <c r="L68" s="9">
        <v>0.5</v>
      </c>
      <c r="M68"/>
      <c r="N68"/>
      <c r="O68"/>
      <c r="P68"/>
      <c r="Q68"/>
    </row>
    <row r="69" spans="1:17">
      <c r="A69" s="1">
        <v>5</v>
      </c>
      <c r="B69" s="2" t="s">
        <v>12</v>
      </c>
      <c r="C69" s="10">
        <v>3</v>
      </c>
      <c r="D69" s="2" t="s">
        <v>17</v>
      </c>
      <c r="E69" s="2" t="s">
        <v>13</v>
      </c>
      <c r="F69" s="2" t="s">
        <v>15</v>
      </c>
      <c r="G69" s="2" t="s">
        <v>13</v>
      </c>
      <c r="H69" s="2" t="s">
        <v>15</v>
      </c>
      <c r="I69" s="2" t="s">
        <v>15</v>
      </c>
      <c r="J69" s="9">
        <f t="shared" si="2"/>
        <v>-3</v>
      </c>
      <c r="K69" s="8"/>
      <c r="L69" s="9">
        <v>0.5</v>
      </c>
      <c r="M69"/>
      <c r="N69"/>
      <c r="O69"/>
      <c r="P69"/>
      <c r="Q69"/>
    </row>
    <row r="70" spans="1:17">
      <c r="A70" s="1">
        <v>5</v>
      </c>
      <c r="B70" s="2" t="s">
        <v>12</v>
      </c>
      <c r="C70" s="10">
        <v>4</v>
      </c>
      <c r="D70" s="2" t="s">
        <v>18</v>
      </c>
      <c r="E70" s="2" t="s">
        <v>15</v>
      </c>
      <c r="F70" s="2" t="s">
        <v>15</v>
      </c>
      <c r="G70" s="2" t="s">
        <v>15</v>
      </c>
      <c r="H70" s="2" t="s">
        <v>15</v>
      </c>
      <c r="I70" s="2" t="s">
        <v>13</v>
      </c>
      <c r="J70" s="9">
        <f t="shared" si="2"/>
        <v>0</v>
      </c>
      <c r="K70" s="8"/>
      <c r="L70" s="9">
        <v>0.5</v>
      </c>
      <c r="M70"/>
      <c r="N70"/>
      <c r="O70"/>
      <c r="P70"/>
      <c r="Q70"/>
    </row>
    <row r="71" spans="1:17">
      <c r="A71" s="1">
        <v>5</v>
      </c>
      <c r="B71" s="2" t="s">
        <v>12</v>
      </c>
      <c r="C71" s="10">
        <v>5</v>
      </c>
      <c r="D71" s="2" t="s">
        <v>19</v>
      </c>
      <c r="E71" s="2" t="s">
        <v>13</v>
      </c>
      <c r="F71" s="2" t="s">
        <v>15</v>
      </c>
      <c r="G71" s="2" t="s">
        <v>13</v>
      </c>
      <c r="H71" s="2" t="s">
        <v>15</v>
      </c>
      <c r="I71" s="2" t="s">
        <v>15</v>
      </c>
      <c r="J71" s="9">
        <f t="shared" si="2"/>
        <v>-3</v>
      </c>
      <c r="K71" s="8"/>
      <c r="L71" s="9">
        <v>0.5</v>
      </c>
      <c r="M71"/>
      <c r="N71"/>
      <c r="O71"/>
      <c r="P71"/>
      <c r="Q71"/>
    </row>
    <row r="72" spans="1:17">
      <c r="A72" s="1">
        <v>5</v>
      </c>
      <c r="B72" s="2" t="s">
        <v>12</v>
      </c>
      <c r="C72" s="10">
        <v>6</v>
      </c>
      <c r="D72" s="2" t="s">
        <v>20</v>
      </c>
      <c r="E72" s="2" t="s">
        <v>15</v>
      </c>
      <c r="F72" s="2" t="s">
        <v>15</v>
      </c>
      <c r="G72" s="2" t="s">
        <v>15</v>
      </c>
      <c r="H72" s="2" t="s">
        <v>13</v>
      </c>
      <c r="I72" s="2" t="s">
        <v>15</v>
      </c>
      <c r="J72" s="9">
        <f t="shared" si="2"/>
        <v>0</v>
      </c>
      <c r="K72" s="8"/>
      <c r="L72" s="9">
        <v>0.5</v>
      </c>
      <c r="M72"/>
      <c r="N72"/>
      <c r="O72"/>
      <c r="P72"/>
      <c r="Q72"/>
    </row>
    <row r="73" spans="1:17">
      <c r="A73" s="1">
        <v>5</v>
      </c>
      <c r="B73" s="2" t="s">
        <v>12</v>
      </c>
      <c r="C73" s="10">
        <v>7</v>
      </c>
      <c r="D73" s="2" t="s">
        <v>21</v>
      </c>
      <c r="E73" s="2" t="s">
        <v>13</v>
      </c>
      <c r="F73" s="2" t="s">
        <v>15</v>
      </c>
      <c r="G73" s="2" t="s">
        <v>13</v>
      </c>
      <c r="H73" s="2" t="s">
        <v>15</v>
      </c>
      <c r="I73" s="2" t="s">
        <v>15</v>
      </c>
      <c r="J73" s="9">
        <f t="shared" si="2"/>
        <v>-3</v>
      </c>
      <c r="K73" s="8"/>
      <c r="L73" s="9">
        <v>0.5</v>
      </c>
      <c r="M73"/>
      <c r="N73"/>
      <c r="O73"/>
      <c r="P73"/>
      <c r="Q73"/>
    </row>
    <row r="74" spans="1:17">
      <c r="A74" s="1">
        <v>5</v>
      </c>
      <c r="B74" s="2" t="s">
        <v>12</v>
      </c>
      <c r="C74" s="10">
        <v>8</v>
      </c>
      <c r="D74" s="2" t="s">
        <v>22</v>
      </c>
      <c r="E74" s="2" t="s">
        <v>15</v>
      </c>
      <c r="F74" s="2" t="s">
        <v>15</v>
      </c>
      <c r="G74" s="2" t="s">
        <v>15</v>
      </c>
      <c r="H74" s="2" t="s">
        <v>13</v>
      </c>
      <c r="I74" s="2" t="s">
        <v>15</v>
      </c>
      <c r="J74" s="9">
        <f t="shared" si="2"/>
        <v>0</v>
      </c>
      <c r="K74" s="8"/>
      <c r="L74" s="9">
        <v>0.5</v>
      </c>
      <c r="M74"/>
      <c r="N74"/>
      <c r="O74"/>
      <c r="P74"/>
      <c r="Q74"/>
    </row>
    <row r="75" spans="1:17">
      <c r="A75" s="1">
        <v>5</v>
      </c>
      <c r="B75" s="2" t="s">
        <v>12</v>
      </c>
      <c r="C75" s="10">
        <v>9</v>
      </c>
      <c r="D75" s="2" t="s">
        <v>23</v>
      </c>
      <c r="E75" s="2" t="s">
        <v>13</v>
      </c>
      <c r="F75" s="2" t="s">
        <v>15</v>
      </c>
      <c r="G75" s="2" t="s">
        <v>13</v>
      </c>
      <c r="H75" s="2" t="s">
        <v>15</v>
      </c>
      <c r="I75" s="2" t="s">
        <v>15</v>
      </c>
      <c r="J75" s="9">
        <f t="shared" si="2"/>
        <v>-3</v>
      </c>
      <c r="K75" s="8"/>
      <c r="L75" s="9">
        <v>0.5</v>
      </c>
      <c r="M75"/>
      <c r="N75"/>
      <c r="O75"/>
      <c r="P75"/>
      <c r="Q75"/>
    </row>
    <row r="76" spans="1:17">
      <c r="A76" s="1">
        <v>5</v>
      </c>
      <c r="B76" s="2" t="s">
        <v>12</v>
      </c>
      <c r="C76" s="10">
        <v>10</v>
      </c>
      <c r="D76" s="2" t="s">
        <v>24</v>
      </c>
      <c r="E76" s="2" t="s">
        <v>15</v>
      </c>
      <c r="F76" s="2" t="s">
        <v>15</v>
      </c>
      <c r="G76" s="2" t="s">
        <v>15</v>
      </c>
      <c r="H76" s="2" t="s">
        <v>13</v>
      </c>
      <c r="I76" s="2" t="s">
        <v>15</v>
      </c>
      <c r="J76" s="9">
        <f t="shared" si="2"/>
        <v>0</v>
      </c>
      <c r="K76" s="8"/>
      <c r="L76" s="9">
        <v>0.5</v>
      </c>
      <c r="M76"/>
      <c r="N76"/>
      <c r="O76"/>
      <c r="P76"/>
      <c r="Q76"/>
    </row>
    <row r="77" spans="1:17">
      <c r="A77" s="1">
        <v>5</v>
      </c>
      <c r="B77" s="2" t="s">
        <v>12</v>
      </c>
      <c r="C77" s="10">
        <v>11</v>
      </c>
      <c r="D77" s="2" t="s">
        <v>25</v>
      </c>
      <c r="E77" s="2" t="s">
        <v>15</v>
      </c>
      <c r="F77" s="2" t="s">
        <v>15</v>
      </c>
      <c r="G77" s="2" t="s">
        <v>15</v>
      </c>
      <c r="H77" s="2" t="s">
        <v>13</v>
      </c>
      <c r="I77" s="2" t="s">
        <v>15</v>
      </c>
      <c r="J77" s="9">
        <f t="shared" si="2"/>
        <v>0</v>
      </c>
      <c r="K77" s="8"/>
      <c r="L77" s="9">
        <v>0.5</v>
      </c>
      <c r="M77"/>
      <c r="N77"/>
      <c r="O77"/>
      <c r="P77"/>
      <c r="Q77"/>
    </row>
    <row r="78" spans="1:17">
      <c r="A78" s="1">
        <v>5</v>
      </c>
      <c r="B78" s="2" t="s">
        <v>12</v>
      </c>
      <c r="C78" s="10">
        <v>12</v>
      </c>
      <c r="D78" s="2" t="s">
        <v>26</v>
      </c>
      <c r="E78" s="2" t="s">
        <v>13</v>
      </c>
      <c r="F78" s="2" t="s">
        <v>15</v>
      </c>
      <c r="G78" s="2" t="s">
        <v>13</v>
      </c>
      <c r="H78" s="2" t="s">
        <v>15</v>
      </c>
      <c r="I78" s="2" t="s">
        <v>15</v>
      </c>
      <c r="J78" s="9">
        <f t="shared" si="2"/>
        <v>-3</v>
      </c>
      <c r="K78" s="8"/>
      <c r="L78" s="9">
        <v>0.5</v>
      </c>
      <c r="M78"/>
      <c r="N78"/>
      <c r="O78"/>
      <c r="P78"/>
      <c r="Q78"/>
    </row>
    <row r="79" spans="1:17">
      <c r="A79" s="1">
        <v>5</v>
      </c>
      <c r="B79" s="2" t="s">
        <v>12</v>
      </c>
      <c r="C79" s="10">
        <v>13</v>
      </c>
      <c r="D79" s="2" t="s">
        <v>27</v>
      </c>
      <c r="E79" s="2" t="s">
        <v>13</v>
      </c>
      <c r="F79" s="2" t="s">
        <v>15</v>
      </c>
      <c r="G79" s="2" t="s">
        <v>13</v>
      </c>
      <c r="H79" s="2" t="s">
        <v>13</v>
      </c>
      <c r="I79" s="2" t="s">
        <v>13</v>
      </c>
      <c r="J79" s="9">
        <f t="shared" si="2"/>
        <v>0</v>
      </c>
      <c r="K79" s="8"/>
      <c r="L79" s="9">
        <v>0.5</v>
      </c>
      <c r="M79"/>
      <c r="N79"/>
      <c r="O79"/>
      <c r="P79"/>
      <c r="Q79"/>
    </row>
    <row r="80" spans="1:17">
      <c r="A80" s="1">
        <v>5</v>
      </c>
      <c r="B80" s="2" t="s">
        <v>12</v>
      </c>
      <c r="C80" s="10">
        <v>14</v>
      </c>
      <c r="D80" s="2" t="s">
        <v>28</v>
      </c>
      <c r="E80" s="2" t="s">
        <v>13</v>
      </c>
      <c r="F80" s="2" t="s">
        <v>15</v>
      </c>
      <c r="G80" s="2" t="s">
        <v>15</v>
      </c>
      <c r="H80" s="2" t="s">
        <v>15</v>
      </c>
      <c r="I80" s="2" t="s">
        <v>15</v>
      </c>
      <c r="J80" s="9">
        <f t="shared" si="2"/>
        <v>-3</v>
      </c>
      <c r="K80" s="8"/>
      <c r="L80" s="9">
        <v>0.5</v>
      </c>
      <c r="M80"/>
      <c r="N80"/>
      <c r="O80"/>
      <c r="P80"/>
      <c r="Q80"/>
    </row>
    <row r="81" spans="1:17">
      <c r="A81" s="1">
        <v>5</v>
      </c>
      <c r="B81" s="2" t="s">
        <v>12</v>
      </c>
      <c r="C81" s="10">
        <v>15</v>
      </c>
      <c r="D81" s="2" t="s">
        <v>29</v>
      </c>
      <c r="E81" s="2" t="s">
        <v>15</v>
      </c>
      <c r="F81" s="2" t="s">
        <v>15</v>
      </c>
      <c r="G81" s="2" t="s">
        <v>15</v>
      </c>
      <c r="H81" s="2" t="s">
        <v>13</v>
      </c>
      <c r="I81" s="2" t="s">
        <v>15</v>
      </c>
      <c r="J81" s="9">
        <f t="shared" si="2"/>
        <v>0</v>
      </c>
      <c r="K81" s="8"/>
      <c r="L81" s="9">
        <v>0.5</v>
      </c>
      <c r="M81"/>
      <c r="N81"/>
      <c r="O81"/>
      <c r="P81"/>
      <c r="Q81"/>
    </row>
    <row r="82" spans="1:17">
      <c r="A82" s="1">
        <v>5</v>
      </c>
      <c r="B82" s="2" t="s">
        <v>30</v>
      </c>
      <c r="C82" s="10">
        <v>16</v>
      </c>
      <c r="D82" s="2" t="s">
        <v>31</v>
      </c>
      <c r="E82" s="2" t="s">
        <v>13</v>
      </c>
      <c r="F82" s="2" t="s">
        <v>13</v>
      </c>
      <c r="G82" s="2" t="s">
        <v>13</v>
      </c>
      <c r="H82" s="2" t="s">
        <v>15</v>
      </c>
      <c r="I82" s="2" t="s">
        <v>13</v>
      </c>
      <c r="J82" s="9">
        <f t="shared" si="2"/>
        <v>-1</v>
      </c>
      <c r="K82" s="8"/>
      <c r="L82" s="9">
        <v>0.5</v>
      </c>
      <c r="M82"/>
      <c r="N82"/>
      <c r="O82"/>
      <c r="P82"/>
      <c r="Q82"/>
    </row>
    <row r="83" spans="1:17">
      <c r="A83" s="1">
        <v>6</v>
      </c>
      <c r="B83" s="2" t="s">
        <v>12</v>
      </c>
      <c r="C83" s="10">
        <v>1</v>
      </c>
      <c r="D83" s="2" t="s">
        <v>32</v>
      </c>
      <c r="E83" s="2" t="s">
        <v>13</v>
      </c>
      <c r="F83" s="2" t="s">
        <v>15</v>
      </c>
      <c r="G83" s="2" t="s">
        <v>13</v>
      </c>
      <c r="H83" s="2" t="s">
        <v>15</v>
      </c>
      <c r="I83" s="2" t="s">
        <v>15</v>
      </c>
      <c r="J83" s="9">
        <f t="shared" si="2"/>
        <v>-3</v>
      </c>
      <c r="K83" s="8"/>
      <c r="L83" s="9">
        <v>0.5</v>
      </c>
      <c r="M83" s="4"/>
      <c r="N83" s="4"/>
      <c r="O83" s="4"/>
      <c r="P83" s="4"/>
      <c r="Q83" s="4"/>
    </row>
    <row r="84" spans="1:17">
      <c r="A84" s="1">
        <v>6</v>
      </c>
      <c r="B84" s="2" t="s">
        <v>12</v>
      </c>
      <c r="C84" s="10">
        <v>2</v>
      </c>
      <c r="D84" s="2" t="s">
        <v>16</v>
      </c>
      <c r="E84" s="2" t="s">
        <v>13</v>
      </c>
      <c r="F84" s="2" t="s">
        <v>13</v>
      </c>
      <c r="G84" s="2" t="s">
        <v>15</v>
      </c>
      <c r="H84" s="2" t="s">
        <v>13</v>
      </c>
      <c r="I84" s="2" t="s">
        <v>15</v>
      </c>
      <c r="J84" s="9">
        <f t="shared" si="2"/>
        <v>0</v>
      </c>
      <c r="K84" s="8"/>
      <c r="L84" s="9">
        <v>0.5</v>
      </c>
      <c r="M84"/>
      <c r="N84"/>
      <c r="O84"/>
      <c r="P84"/>
      <c r="Q84"/>
    </row>
    <row r="85" spans="1:17">
      <c r="A85" s="1">
        <v>6</v>
      </c>
      <c r="B85" s="2" t="s">
        <v>12</v>
      </c>
      <c r="C85" s="10">
        <v>3</v>
      </c>
      <c r="D85" s="2" t="s">
        <v>17</v>
      </c>
      <c r="E85" s="2" t="s">
        <v>13</v>
      </c>
      <c r="F85" s="2" t="s">
        <v>15</v>
      </c>
      <c r="G85" s="2" t="s">
        <v>13</v>
      </c>
      <c r="H85" s="2" t="s">
        <v>15</v>
      </c>
      <c r="I85" s="2" t="s">
        <v>15</v>
      </c>
      <c r="J85" s="9">
        <f t="shared" si="2"/>
        <v>-3</v>
      </c>
      <c r="K85" s="8"/>
      <c r="L85" s="9">
        <v>0.5</v>
      </c>
      <c r="M85"/>
      <c r="N85"/>
      <c r="O85"/>
      <c r="P85"/>
      <c r="Q85"/>
    </row>
    <row r="86" spans="1:17">
      <c r="A86" s="1">
        <v>6</v>
      </c>
      <c r="B86" s="2" t="s">
        <v>12</v>
      </c>
      <c r="C86" s="10">
        <v>4</v>
      </c>
      <c r="D86" s="2" t="s">
        <v>18</v>
      </c>
      <c r="E86" s="2" t="s">
        <v>13</v>
      </c>
      <c r="F86" s="2" t="s">
        <v>15</v>
      </c>
      <c r="G86" s="2" t="s">
        <v>15</v>
      </c>
      <c r="H86" s="2" t="s">
        <v>13</v>
      </c>
      <c r="I86" s="2" t="s">
        <v>15</v>
      </c>
      <c r="J86" s="9">
        <f t="shared" si="2"/>
        <v>0</v>
      </c>
      <c r="K86" s="8"/>
      <c r="L86" s="9">
        <v>0.5</v>
      </c>
      <c r="M86"/>
      <c r="N86"/>
      <c r="O86"/>
      <c r="P86"/>
      <c r="Q86"/>
    </row>
    <row r="87" spans="1:17">
      <c r="A87" s="1">
        <v>6</v>
      </c>
      <c r="B87" s="2" t="s">
        <v>12</v>
      </c>
      <c r="C87" s="10">
        <v>5</v>
      </c>
      <c r="D87" s="2" t="s">
        <v>19</v>
      </c>
      <c r="E87" s="2" t="s">
        <v>13</v>
      </c>
      <c r="F87" s="2" t="s">
        <v>15</v>
      </c>
      <c r="G87" s="2" t="s">
        <v>15</v>
      </c>
      <c r="H87" s="2" t="s">
        <v>15</v>
      </c>
      <c r="I87" s="2" t="s">
        <v>15</v>
      </c>
      <c r="J87" s="9">
        <f t="shared" si="2"/>
        <v>-3</v>
      </c>
      <c r="K87" s="8"/>
      <c r="L87" s="9">
        <v>0.5</v>
      </c>
      <c r="M87"/>
      <c r="N87"/>
      <c r="O87"/>
      <c r="P87"/>
      <c r="Q87"/>
    </row>
    <row r="88" spans="1:17">
      <c r="A88" s="1">
        <v>6</v>
      </c>
      <c r="B88" s="2" t="s">
        <v>12</v>
      </c>
      <c r="C88" s="10">
        <v>6</v>
      </c>
      <c r="D88" s="2" t="s">
        <v>20</v>
      </c>
      <c r="E88" s="2" t="s">
        <v>13</v>
      </c>
      <c r="F88" s="2" t="s">
        <v>15</v>
      </c>
      <c r="G88" s="2" t="s">
        <v>15</v>
      </c>
      <c r="H88" s="2" t="s">
        <v>13</v>
      </c>
      <c r="I88" s="2" t="s">
        <v>15</v>
      </c>
      <c r="J88" s="9">
        <f t="shared" si="2"/>
        <v>0</v>
      </c>
      <c r="K88" s="8"/>
      <c r="L88" s="9">
        <v>0.5</v>
      </c>
      <c r="M88"/>
      <c r="N88"/>
      <c r="O88"/>
      <c r="P88"/>
      <c r="Q88"/>
    </row>
    <row r="89" spans="1:17">
      <c r="A89" s="1">
        <v>6</v>
      </c>
      <c r="B89" s="2" t="s">
        <v>12</v>
      </c>
      <c r="C89" s="10">
        <v>7</v>
      </c>
      <c r="D89" s="2" t="s">
        <v>21</v>
      </c>
      <c r="E89" s="2" t="s">
        <v>13</v>
      </c>
      <c r="F89" s="2" t="s">
        <v>15</v>
      </c>
      <c r="G89" s="2" t="s">
        <v>13</v>
      </c>
      <c r="H89" s="2" t="s">
        <v>15</v>
      </c>
      <c r="I89" s="2" t="s">
        <v>15</v>
      </c>
      <c r="J89" s="9">
        <f t="shared" si="2"/>
        <v>-3</v>
      </c>
      <c r="K89" s="8"/>
      <c r="L89" s="9">
        <v>0.5</v>
      </c>
      <c r="M89"/>
      <c r="N89"/>
      <c r="O89"/>
      <c r="P89"/>
      <c r="Q89"/>
    </row>
    <row r="90" spans="1:17">
      <c r="A90" s="1">
        <v>6</v>
      </c>
      <c r="B90" s="2" t="s">
        <v>12</v>
      </c>
      <c r="C90" s="10">
        <v>8</v>
      </c>
      <c r="D90" s="2" t="s">
        <v>22</v>
      </c>
      <c r="E90" s="2" t="s">
        <v>15</v>
      </c>
      <c r="F90" s="2" t="s">
        <v>15</v>
      </c>
      <c r="G90" s="2" t="s">
        <v>15</v>
      </c>
      <c r="H90" s="2" t="s">
        <v>13</v>
      </c>
      <c r="I90" s="2" t="s">
        <v>15</v>
      </c>
      <c r="J90" s="9">
        <f t="shared" si="2"/>
        <v>0</v>
      </c>
      <c r="K90" s="8"/>
      <c r="L90" s="9">
        <v>0.5</v>
      </c>
      <c r="M90"/>
      <c r="N90"/>
      <c r="O90"/>
      <c r="P90"/>
      <c r="Q90"/>
    </row>
    <row r="91" spans="1:17">
      <c r="A91" s="1">
        <v>6</v>
      </c>
      <c r="B91" s="2" t="s">
        <v>12</v>
      </c>
      <c r="C91" s="10">
        <v>9</v>
      </c>
      <c r="D91" s="2" t="s">
        <v>23</v>
      </c>
      <c r="E91" s="2" t="s">
        <v>13</v>
      </c>
      <c r="F91" s="2" t="s">
        <v>15</v>
      </c>
      <c r="G91" s="2" t="s">
        <v>15</v>
      </c>
      <c r="H91" s="2" t="s">
        <v>15</v>
      </c>
      <c r="I91" s="2" t="s">
        <v>15</v>
      </c>
      <c r="J91" s="9">
        <f t="shared" si="2"/>
        <v>-3</v>
      </c>
      <c r="K91" s="8"/>
      <c r="L91" s="9">
        <v>0.5</v>
      </c>
      <c r="M91"/>
      <c r="N91"/>
      <c r="O91"/>
      <c r="P91"/>
      <c r="Q91"/>
    </row>
    <row r="92" spans="1:17">
      <c r="A92" s="1">
        <v>6</v>
      </c>
      <c r="B92" s="2" t="s">
        <v>12</v>
      </c>
      <c r="C92" s="10">
        <v>10</v>
      </c>
      <c r="D92" s="2" t="s">
        <v>24</v>
      </c>
      <c r="E92" s="2" t="s">
        <v>15</v>
      </c>
      <c r="F92" s="2" t="s">
        <v>13</v>
      </c>
      <c r="G92" s="2" t="s">
        <v>15</v>
      </c>
      <c r="H92" s="2" t="s">
        <v>13</v>
      </c>
      <c r="I92" s="2" t="s">
        <v>15</v>
      </c>
      <c r="J92" s="9">
        <f t="shared" si="2"/>
        <v>0</v>
      </c>
      <c r="K92" s="8"/>
      <c r="L92" s="9">
        <v>0.5</v>
      </c>
      <c r="M92"/>
      <c r="N92"/>
      <c r="O92"/>
      <c r="P92"/>
      <c r="Q92"/>
    </row>
    <row r="93" spans="1:17">
      <c r="A93" s="1">
        <v>6</v>
      </c>
      <c r="B93" s="2" t="s">
        <v>12</v>
      </c>
      <c r="C93" s="10">
        <v>11</v>
      </c>
      <c r="D93" s="2" t="s">
        <v>25</v>
      </c>
      <c r="E93" s="2" t="s">
        <v>13</v>
      </c>
      <c r="F93" s="2" t="s">
        <v>15</v>
      </c>
      <c r="G93" s="2" t="s">
        <v>15</v>
      </c>
      <c r="H93" s="2" t="s">
        <v>13</v>
      </c>
      <c r="I93" s="2" t="s">
        <v>15</v>
      </c>
      <c r="J93" s="9">
        <f t="shared" si="2"/>
        <v>0</v>
      </c>
      <c r="K93" s="8"/>
      <c r="L93" s="9">
        <v>0.5</v>
      </c>
      <c r="M93"/>
      <c r="N93"/>
      <c r="O93"/>
      <c r="P93"/>
      <c r="Q93"/>
    </row>
    <row r="94" spans="1:17">
      <c r="A94" s="1">
        <v>6</v>
      </c>
      <c r="B94" s="2" t="s">
        <v>12</v>
      </c>
      <c r="C94" s="10">
        <v>12</v>
      </c>
      <c r="D94" s="2" t="s">
        <v>26</v>
      </c>
      <c r="E94" s="2" t="s">
        <v>13</v>
      </c>
      <c r="F94" s="2" t="s">
        <v>15</v>
      </c>
      <c r="G94" s="2" t="s">
        <v>13</v>
      </c>
      <c r="H94" s="2" t="s">
        <v>15</v>
      </c>
      <c r="I94" s="2" t="s">
        <v>15</v>
      </c>
      <c r="J94" s="9">
        <f t="shared" si="2"/>
        <v>-3</v>
      </c>
      <c r="K94" s="8"/>
      <c r="L94" s="9">
        <v>0.5</v>
      </c>
      <c r="M94"/>
      <c r="N94"/>
      <c r="O94"/>
      <c r="P94"/>
      <c r="Q94"/>
    </row>
    <row r="95" spans="1:17">
      <c r="A95" s="1">
        <v>6</v>
      </c>
      <c r="B95" s="2" t="s">
        <v>12</v>
      </c>
      <c r="C95" s="10">
        <v>13</v>
      </c>
      <c r="D95" s="2" t="s">
        <v>27</v>
      </c>
      <c r="E95" s="2" t="s">
        <v>15</v>
      </c>
      <c r="F95" s="2" t="s">
        <v>13</v>
      </c>
      <c r="G95" s="2" t="s">
        <v>15</v>
      </c>
      <c r="H95" s="2" t="s">
        <v>13</v>
      </c>
      <c r="I95" s="2" t="s">
        <v>13</v>
      </c>
      <c r="J95" s="9">
        <f t="shared" si="2"/>
        <v>0</v>
      </c>
      <c r="K95" s="8"/>
      <c r="L95" s="9">
        <v>0.5</v>
      </c>
      <c r="M95"/>
      <c r="N95"/>
      <c r="O95"/>
      <c r="P95"/>
      <c r="Q95"/>
    </row>
    <row r="96" spans="1:17">
      <c r="A96" s="1">
        <v>6</v>
      </c>
      <c r="B96" s="2" t="s">
        <v>12</v>
      </c>
      <c r="C96" s="10">
        <v>14</v>
      </c>
      <c r="D96" s="2" t="s">
        <v>28</v>
      </c>
      <c r="E96" s="2" t="s">
        <v>13</v>
      </c>
      <c r="F96" s="2" t="s">
        <v>15</v>
      </c>
      <c r="G96" s="2" t="s">
        <v>13</v>
      </c>
      <c r="H96" s="2" t="s">
        <v>15</v>
      </c>
      <c r="I96" s="2" t="s">
        <v>15</v>
      </c>
      <c r="J96" s="9">
        <f t="shared" si="2"/>
        <v>-3</v>
      </c>
      <c r="K96" s="8"/>
      <c r="L96" s="9">
        <v>0.5</v>
      </c>
      <c r="M96"/>
      <c r="N96"/>
      <c r="O96"/>
      <c r="P96"/>
      <c r="Q96"/>
    </row>
    <row r="97" spans="1:17">
      <c r="A97" s="1">
        <v>6</v>
      </c>
      <c r="B97" s="2" t="s">
        <v>12</v>
      </c>
      <c r="C97" s="10">
        <v>15</v>
      </c>
      <c r="D97" s="2" t="s">
        <v>29</v>
      </c>
      <c r="E97" s="2" t="s">
        <v>13</v>
      </c>
      <c r="F97" s="2" t="s">
        <v>15</v>
      </c>
      <c r="G97" s="2" t="s">
        <v>15</v>
      </c>
      <c r="H97" s="2" t="s">
        <v>13</v>
      </c>
      <c r="I97" s="2" t="s">
        <v>15</v>
      </c>
      <c r="J97" s="9">
        <f t="shared" si="2"/>
        <v>0</v>
      </c>
      <c r="K97" s="8"/>
      <c r="L97" s="9">
        <v>0.5</v>
      </c>
      <c r="M97"/>
      <c r="N97"/>
      <c r="O97"/>
      <c r="P97"/>
      <c r="Q97"/>
    </row>
    <row r="98" spans="1:17">
      <c r="A98" s="1">
        <v>6</v>
      </c>
      <c r="B98" s="2" t="s">
        <v>30</v>
      </c>
      <c r="C98" s="10">
        <v>16</v>
      </c>
      <c r="D98" s="2" t="s">
        <v>31</v>
      </c>
      <c r="E98" s="2" t="s">
        <v>13</v>
      </c>
      <c r="F98" s="2" t="s">
        <v>13</v>
      </c>
      <c r="G98" s="2" t="s">
        <v>15</v>
      </c>
      <c r="H98" s="2" t="s">
        <v>15</v>
      </c>
      <c r="I98" s="2" t="s">
        <v>13</v>
      </c>
      <c r="J98" s="9">
        <f t="shared" si="2"/>
        <v>-1</v>
      </c>
      <c r="K98" s="8"/>
      <c r="L98" s="9">
        <v>0.5</v>
      </c>
      <c r="M98"/>
      <c r="N98"/>
      <c r="O98"/>
      <c r="P98"/>
      <c r="Q98"/>
    </row>
    <row r="99" spans="1:17">
      <c r="A99" s="1">
        <v>7</v>
      </c>
      <c r="B99" s="2" t="s">
        <v>12</v>
      </c>
      <c r="C99" s="10">
        <v>1</v>
      </c>
      <c r="D99" s="2" t="s">
        <v>32</v>
      </c>
      <c r="E99" s="2" t="s">
        <v>13</v>
      </c>
      <c r="F99" s="2" t="s">
        <v>15</v>
      </c>
      <c r="G99" s="2" t="s">
        <v>13</v>
      </c>
      <c r="H99" s="2" t="s">
        <v>15</v>
      </c>
      <c r="I99" s="2" t="s">
        <v>15</v>
      </c>
      <c r="J99" s="9">
        <f t="shared" si="2"/>
        <v>-3</v>
      </c>
      <c r="K99" s="8"/>
      <c r="L99" s="9">
        <v>0.5</v>
      </c>
      <c r="M99"/>
      <c r="N99"/>
      <c r="O99"/>
      <c r="P99"/>
      <c r="Q99"/>
    </row>
    <row r="100" spans="1:17">
      <c r="A100" s="1">
        <v>7</v>
      </c>
      <c r="B100" s="2" t="s">
        <v>12</v>
      </c>
      <c r="C100" s="10">
        <v>2</v>
      </c>
      <c r="D100" s="2" t="s">
        <v>16</v>
      </c>
      <c r="E100" s="2" t="s">
        <v>13</v>
      </c>
      <c r="F100" s="2" t="s">
        <v>13</v>
      </c>
      <c r="G100" s="2" t="s">
        <v>13</v>
      </c>
      <c r="H100" s="2" t="s">
        <v>13</v>
      </c>
      <c r="I100" s="2" t="s">
        <v>15</v>
      </c>
      <c r="J100" s="9">
        <f t="shared" si="2"/>
        <v>0</v>
      </c>
      <c r="K100" s="8"/>
      <c r="L100" s="9">
        <v>0.5</v>
      </c>
      <c r="M100"/>
      <c r="N100"/>
      <c r="O100"/>
      <c r="P100"/>
      <c r="Q100"/>
    </row>
    <row r="101" spans="1:17">
      <c r="A101" s="1">
        <v>7</v>
      </c>
      <c r="B101" s="2" t="s">
        <v>12</v>
      </c>
      <c r="C101" s="10">
        <v>3</v>
      </c>
      <c r="D101" s="2" t="s">
        <v>17</v>
      </c>
      <c r="E101" s="2" t="s">
        <v>13</v>
      </c>
      <c r="F101" s="2" t="s">
        <v>15</v>
      </c>
      <c r="G101" s="2" t="s">
        <v>13</v>
      </c>
      <c r="H101" s="2" t="s">
        <v>15</v>
      </c>
      <c r="I101" s="2" t="s">
        <v>15</v>
      </c>
      <c r="J101" s="9">
        <f t="shared" si="2"/>
        <v>-3</v>
      </c>
      <c r="K101" s="8"/>
      <c r="L101" s="9">
        <v>0.5</v>
      </c>
      <c r="M101"/>
      <c r="N101"/>
      <c r="O101"/>
      <c r="P101"/>
      <c r="Q101"/>
    </row>
    <row r="102" spans="1:17">
      <c r="A102" s="1">
        <v>7</v>
      </c>
      <c r="B102" s="2" t="s">
        <v>12</v>
      </c>
      <c r="C102" s="10">
        <v>4</v>
      </c>
      <c r="D102" s="2" t="s">
        <v>18</v>
      </c>
      <c r="E102" s="2" t="s">
        <v>15</v>
      </c>
      <c r="F102" s="2" t="s">
        <v>13</v>
      </c>
      <c r="G102" s="2" t="s">
        <v>15</v>
      </c>
      <c r="H102" s="2" t="s">
        <v>13</v>
      </c>
      <c r="I102" s="2" t="s">
        <v>13</v>
      </c>
      <c r="J102" s="9">
        <f t="shared" si="2"/>
        <v>0</v>
      </c>
      <c r="K102" s="8"/>
      <c r="L102" s="9">
        <v>0.5</v>
      </c>
      <c r="M102"/>
      <c r="N102"/>
      <c r="O102"/>
      <c r="P102"/>
      <c r="Q102"/>
    </row>
    <row r="103" spans="1:17">
      <c r="A103" s="1">
        <v>7</v>
      </c>
      <c r="B103" s="2" t="s">
        <v>12</v>
      </c>
      <c r="C103" s="10">
        <v>5</v>
      </c>
      <c r="D103" s="2" t="s">
        <v>19</v>
      </c>
      <c r="E103" s="2" t="s">
        <v>13</v>
      </c>
      <c r="F103" s="2" t="s">
        <v>15</v>
      </c>
      <c r="G103" s="2" t="s">
        <v>15</v>
      </c>
      <c r="H103" s="2" t="s">
        <v>15</v>
      </c>
      <c r="I103" s="2" t="s">
        <v>15</v>
      </c>
      <c r="J103" s="9">
        <f t="shared" si="2"/>
        <v>-3</v>
      </c>
      <c r="K103" s="8"/>
      <c r="L103" s="9">
        <v>0.5</v>
      </c>
      <c r="M103"/>
      <c r="N103"/>
      <c r="O103"/>
      <c r="P103"/>
      <c r="Q103"/>
    </row>
    <row r="104" spans="1:17">
      <c r="A104" s="1">
        <v>7</v>
      </c>
      <c r="B104" s="2" t="s">
        <v>12</v>
      </c>
      <c r="C104" s="10">
        <v>6</v>
      </c>
      <c r="D104" s="2" t="s">
        <v>20</v>
      </c>
      <c r="E104" s="2" t="s">
        <v>15</v>
      </c>
      <c r="F104" s="2" t="s">
        <v>13</v>
      </c>
      <c r="G104" s="2" t="s">
        <v>15</v>
      </c>
      <c r="H104" s="2" t="s">
        <v>15</v>
      </c>
      <c r="I104" s="2" t="s">
        <v>13</v>
      </c>
      <c r="J104" s="9">
        <f t="shared" si="2"/>
        <v>0</v>
      </c>
      <c r="K104" s="8"/>
      <c r="L104" s="9">
        <v>0.5</v>
      </c>
      <c r="M104"/>
      <c r="N104"/>
      <c r="O104"/>
      <c r="P104"/>
      <c r="Q104"/>
    </row>
    <row r="105" spans="1:17">
      <c r="A105" s="1">
        <v>7</v>
      </c>
      <c r="B105" s="2" t="s">
        <v>12</v>
      </c>
      <c r="C105" s="10">
        <v>7</v>
      </c>
      <c r="D105" s="2" t="s">
        <v>21</v>
      </c>
      <c r="E105" s="2" t="s">
        <v>13</v>
      </c>
      <c r="F105" s="2" t="s">
        <v>15</v>
      </c>
      <c r="G105" s="2" t="s">
        <v>15</v>
      </c>
      <c r="H105" s="2" t="s">
        <v>15</v>
      </c>
      <c r="I105" s="2" t="s">
        <v>15</v>
      </c>
      <c r="J105" s="9">
        <f t="shared" si="2"/>
        <v>-3</v>
      </c>
      <c r="K105" s="8"/>
      <c r="L105" s="9">
        <v>0.5</v>
      </c>
      <c r="M105"/>
      <c r="N105"/>
      <c r="O105"/>
      <c r="P105"/>
      <c r="Q105"/>
    </row>
    <row r="106" spans="1:17">
      <c r="A106" s="1">
        <v>7</v>
      </c>
      <c r="B106" s="2" t="s">
        <v>12</v>
      </c>
      <c r="C106" s="10">
        <v>8</v>
      </c>
      <c r="D106" s="2" t="s">
        <v>22</v>
      </c>
      <c r="E106" s="2" t="s">
        <v>13</v>
      </c>
      <c r="F106" s="2" t="s">
        <v>13</v>
      </c>
      <c r="G106" s="2" t="s">
        <v>15</v>
      </c>
      <c r="H106" s="2" t="s">
        <v>15</v>
      </c>
      <c r="I106" s="2" t="s">
        <v>13</v>
      </c>
      <c r="J106" s="9">
        <f t="shared" si="2"/>
        <v>0</v>
      </c>
      <c r="K106" s="8"/>
      <c r="L106" s="9">
        <v>0.5</v>
      </c>
      <c r="M106"/>
      <c r="N106"/>
      <c r="O106"/>
      <c r="P106"/>
      <c r="Q106"/>
    </row>
    <row r="107" spans="1:17">
      <c r="A107" s="1">
        <v>7</v>
      </c>
      <c r="B107" s="2" t="s">
        <v>12</v>
      </c>
      <c r="C107" s="10">
        <v>9</v>
      </c>
      <c r="D107" s="2" t="s">
        <v>23</v>
      </c>
      <c r="E107" s="2" t="s">
        <v>13</v>
      </c>
      <c r="F107" s="2" t="s">
        <v>15</v>
      </c>
      <c r="G107" s="2" t="s">
        <v>15</v>
      </c>
      <c r="H107" s="2" t="s">
        <v>15</v>
      </c>
      <c r="I107" s="2" t="s">
        <v>15</v>
      </c>
      <c r="J107" s="9">
        <f t="shared" si="2"/>
        <v>-3</v>
      </c>
      <c r="K107" s="8"/>
      <c r="L107" s="9">
        <v>0.5</v>
      </c>
      <c r="M107"/>
      <c r="N107"/>
      <c r="O107"/>
      <c r="P107"/>
      <c r="Q107"/>
    </row>
    <row r="108" spans="1:17">
      <c r="A108" s="1">
        <v>7</v>
      </c>
      <c r="B108" s="2" t="s">
        <v>12</v>
      </c>
      <c r="C108" s="10">
        <v>10</v>
      </c>
      <c r="D108" s="2" t="s">
        <v>24</v>
      </c>
      <c r="E108" s="2" t="s">
        <v>15</v>
      </c>
      <c r="F108" s="2" t="s">
        <v>13</v>
      </c>
      <c r="G108" s="2" t="s">
        <v>15</v>
      </c>
      <c r="H108" s="2" t="s">
        <v>15</v>
      </c>
      <c r="I108" s="2" t="s">
        <v>13</v>
      </c>
      <c r="J108" s="9">
        <f t="shared" si="2"/>
        <v>0</v>
      </c>
      <c r="K108" s="8"/>
      <c r="L108" s="9">
        <v>0.5</v>
      </c>
      <c r="M108"/>
      <c r="N108"/>
      <c r="O108"/>
      <c r="P108"/>
      <c r="Q108"/>
    </row>
    <row r="109" spans="1:17">
      <c r="A109" s="1">
        <v>7</v>
      </c>
      <c r="B109" s="2" t="s">
        <v>12</v>
      </c>
      <c r="C109" s="10">
        <v>11</v>
      </c>
      <c r="D109" s="2" t="s">
        <v>25</v>
      </c>
      <c r="E109" s="2" t="s">
        <v>15</v>
      </c>
      <c r="F109" s="2" t="s">
        <v>13</v>
      </c>
      <c r="G109" s="2" t="s">
        <v>15</v>
      </c>
      <c r="H109" s="2" t="s">
        <v>15</v>
      </c>
      <c r="I109" s="2" t="s">
        <v>13</v>
      </c>
      <c r="J109" s="9">
        <f t="shared" si="2"/>
        <v>0</v>
      </c>
      <c r="K109" s="8"/>
      <c r="L109" s="9">
        <v>0.5</v>
      </c>
      <c r="M109"/>
      <c r="N109"/>
      <c r="O109"/>
      <c r="P109"/>
      <c r="Q109"/>
    </row>
    <row r="110" spans="1:17">
      <c r="A110" s="1">
        <v>7</v>
      </c>
      <c r="B110" s="2" t="s">
        <v>12</v>
      </c>
      <c r="C110" s="10">
        <v>12</v>
      </c>
      <c r="D110" s="2" t="s">
        <v>26</v>
      </c>
      <c r="E110" s="2" t="s">
        <v>13</v>
      </c>
      <c r="F110" s="2" t="s">
        <v>15</v>
      </c>
      <c r="G110" s="2" t="s">
        <v>13</v>
      </c>
      <c r="H110" s="2" t="s">
        <v>15</v>
      </c>
      <c r="I110" s="2" t="s">
        <v>15</v>
      </c>
      <c r="J110" s="9">
        <f t="shared" si="2"/>
        <v>-3</v>
      </c>
      <c r="K110" s="8"/>
      <c r="L110" s="9">
        <v>0.5</v>
      </c>
      <c r="M110"/>
      <c r="N110"/>
      <c r="O110"/>
      <c r="P110"/>
      <c r="Q110"/>
    </row>
    <row r="111" spans="1:17">
      <c r="A111" s="1">
        <v>7</v>
      </c>
      <c r="B111" s="2" t="s">
        <v>12</v>
      </c>
      <c r="C111" s="10">
        <v>13</v>
      </c>
      <c r="D111" s="2" t="s">
        <v>27</v>
      </c>
      <c r="E111" s="2" t="s">
        <v>15</v>
      </c>
      <c r="F111" s="2" t="s">
        <v>13</v>
      </c>
      <c r="G111" s="2" t="s">
        <v>15</v>
      </c>
      <c r="H111" s="2" t="s">
        <v>15</v>
      </c>
      <c r="I111" s="2" t="s">
        <v>13</v>
      </c>
      <c r="J111" s="9">
        <f t="shared" si="2"/>
        <v>0</v>
      </c>
      <c r="K111" s="8"/>
      <c r="L111" s="9">
        <v>0.5</v>
      </c>
      <c r="M111"/>
      <c r="N111"/>
      <c r="O111"/>
      <c r="P111"/>
      <c r="Q111"/>
    </row>
    <row r="112" spans="1:17">
      <c r="A112" s="1">
        <v>7</v>
      </c>
      <c r="B112" s="2" t="s">
        <v>12</v>
      </c>
      <c r="C112" s="10">
        <v>14</v>
      </c>
      <c r="D112" s="2" t="s">
        <v>28</v>
      </c>
      <c r="E112" s="2" t="s">
        <v>13</v>
      </c>
      <c r="F112" s="2" t="s">
        <v>15</v>
      </c>
      <c r="G112" s="2" t="s">
        <v>13</v>
      </c>
      <c r="H112" s="2" t="s">
        <v>15</v>
      </c>
      <c r="I112" s="2" t="s">
        <v>15</v>
      </c>
      <c r="J112" s="9">
        <f t="shared" si="2"/>
        <v>-3</v>
      </c>
      <c r="K112" s="8"/>
      <c r="L112" s="9">
        <v>0.5</v>
      </c>
      <c r="M112"/>
      <c r="N112"/>
      <c r="O112"/>
      <c r="P112"/>
      <c r="Q112"/>
    </row>
    <row r="113" spans="1:17">
      <c r="A113" s="1">
        <v>7</v>
      </c>
      <c r="B113" s="2" t="s">
        <v>12</v>
      </c>
      <c r="C113" s="10">
        <v>15</v>
      </c>
      <c r="D113" s="2" t="s">
        <v>29</v>
      </c>
      <c r="E113" s="2" t="s">
        <v>15</v>
      </c>
      <c r="F113" s="2" t="s">
        <v>13</v>
      </c>
      <c r="G113" s="2" t="s">
        <v>15</v>
      </c>
      <c r="H113" s="2" t="s">
        <v>15</v>
      </c>
      <c r="I113" s="2" t="s">
        <v>13</v>
      </c>
      <c r="J113" s="9">
        <f t="shared" si="2"/>
        <v>0</v>
      </c>
      <c r="K113" s="8"/>
      <c r="L113" s="9">
        <v>0.5</v>
      </c>
      <c r="M113"/>
      <c r="N113"/>
      <c r="O113"/>
      <c r="P113"/>
      <c r="Q113"/>
    </row>
    <row r="114" spans="1:17">
      <c r="A114" s="1">
        <v>7</v>
      </c>
      <c r="B114" s="2" t="s">
        <v>30</v>
      </c>
      <c r="C114" s="10">
        <v>16</v>
      </c>
      <c r="D114" s="2" t="s">
        <v>31</v>
      </c>
      <c r="E114" s="2" t="s">
        <v>15</v>
      </c>
      <c r="F114" s="2" t="s">
        <v>13</v>
      </c>
      <c r="G114" s="2" t="s">
        <v>15</v>
      </c>
      <c r="H114" s="2" t="s">
        <v>15</v>
      </c>
      <c r="I114" s="2" t="s">
        <v>13</v>
      </c>
      <c r="J114" s="9">
        <f t="shared" si="2"/>
        <v>-1</v>
      </c>
      <c r="K114" s="8"/>
      <c r="L114" s="9">
        <v>0.5</v>
      </c>
      <c r="M114"/>
      <c r="N114"/>
      <c r="O114"/>
      <c r="P114"/>
      <c r="Q114"/>
    </row>
    <row r="115" spans="1:17">
      <c r="A115" s="1">
        <v>8</v>
      </c>
      <c r="B115" s="2" t="s">
        <v>12</v>
      </c>
      <c r="C115" s="10">
        <v>1</v>
      </c>
      <c r="D115" s="2" t="s">
        <v>32</v>
      </c>
      <c r="E115" s="2" t="s">
        <v>13</v>
      </c>
      <c r="F115" s="2" t="s">
        <v>15</v>
      </c>
      <c r="G115" s="2" t="s">
        <v>13</v>
      </c>
      <c r="H115" s="2" t="s">
        <v>15</v>
      </c>
      <c r="I115" s="2" t="s">
        <v>15</v>
      </c>
      <c r="J115" s="9">
        <f t="shared" si="2"/>
        <v>-3</v>
      </c>
      <c r="K115" s="8"/>
      <c r="L115" s="9">
        <v>0.5</v>
      </c>
      <c r="M115"/>
      <c r="N115"/>
      <c r="O115"/>
      <c r="P115"/>
      <c r="Q115"/>
    </row>
    <row r="116" spans="1:17">
      <c r="A116" s="1">
        <v>8</v>
      </c>
      <c r="B116" s="2" t="s">
        <v>12</v>
      </c>
      <c r="C116" s="10">
        <v>2</v>
      </c>
      <c r="D116" s="2" t="s">
        <v>16</v>
      </c>
      <c r="E116" s="2" t="s">
        <v>15</v>
      </c>
      <c r="F116" s="2" t="s">
        <v>13</v>
      </c>
      <c r="G116" s="2" t="s">
        <v>13</v>
      </c>
      <c r="H116" s="2" t="s">
        <v>13</v>
      </c>
      <c r="I116" s="2" t="s">
        <v>15</v>
      </c>
      <c r="J116" s="9">
        <f t="shared" si="2"/>
        <v>0</v>
      </c>
      <c r="K116" s="8"/>
      <c r="L116" s="9">
        <v>0.5</v>
      </c>
      <c r="M116"/>
      <c r="N116"/>
      <c r="O116"/>
      <c r="P116"/>
      <c r="Q116"/>
    </row>
    <row r="117" spans="1:17">
      <c r="A117" s="1">
        <v>8</v>
      </c>
      <c r="B117" s="2" t="s">
        <v>12</v>
      </c>
      <c r="C117" s="10">
        <v>3</v>
      </c>
      <c r="D117" s="2" t="s">
        <v>17</v>
      </c>
      <c r="E117" s="2" t="s">
        <v>13</v>
      </c>
      <c r="F117" s="2" t="s">
        <v>15</v>
      </c>
      <c r="G117" s="2" t="s">
        <v>15</v>
      </c>
      <c r="H117" s="2" t="s">
        <v>15</v>
      </c>
      <c r="I117" s="2" t="s">
        <v>15</v>
      </c>
      <c r="J117" s="9">
        <f t="shared" si="2"/>
        <v>-3</v>
      </c>
      <c r="K117" s="8"/>
      <c r="L117" s="9">
        <v>0.5</v>
      </c>
      <c r="M117"/>
      <c r="N117"/>
      <c r="O117"/>
      <c r="P117"/>
      <c r="Q117"/>
    </row>
    <row r="118" spans="1:17">
      <c r="A118" s="1">
        <v>8</v>
      </c>
      <c r="B118" s="2" t="s">
        <v>12</v>
      </c>
      <c r="C118" s="10">
        <v>4</v>
      </c>
      <c r="D118" s="2" t="s">
        <v>18</v>
      </c>
      <c r="E118" s="2" t="s">
        <v>15</v>
      </c>
      <c r="F118" s="2" t="s">
        <v>13</v>
      </c>
      <c r="G118" s="2" t="s">
        <v>15</v>
      </c>
      <c r="H118" s="2" t="s">
        <v>13</v>
      </c>
      <c r="I118" s="2" t="s">
        <v>15</v>
      </c>
      <c r="J118" s="9">
        <f t="shared" si="2"/>
        <v>0</v>
      </c>
      <c r="K118" s="8"/>
      <c r="L118" s="9">
        <v>0.5</v>
      </c>
      <c r="M118"/>
      <c r="N118"/>
      <c r="O118"/>
      <c r="P118"/>
      <c r="Q118"/>
    </row>
    <row r="119" spans="1:17">
      <c r="A119" s="1">
        <v>8</v>
      </c>
      <c r="B119" s="2" t="s">
        <v>12</v>
      </c>
      <c r="C119" s="10">
        <v>5</v>
      </c>
      <c r="D119" s="2" t="s">
        <v>19</v>
      </c>
      <c r="E119" s="2" t="s">
        <v>15</v>
      </c>
      <c r="F119" s="2" t="s">
        <v>15</v>
      </c>
      <c r="G119" s="2" t="s">
        <v>13</v>
      </c>
      <c r="H119" s="2" t="s">
        <v>15</v>
      </c>
      <c r="I119" s="2" t="s">
        <v>15</v>
      </c>
      <c r="J119" s="9">
        <f t="shared" si="2"/>
        <v>-3</v>
      </c>
      <c r="K119" s="8"/>
      <c r="L119" s="9">
        <v>0.5</v>
      </c>
      <c r="M119"/>
      <c r="N119"/>
      <c r="O119"/>
      <c r="P119"/>
      <c r="Q119"/>
    </row>
    <row r="120" spans="1:17">
      <c r="A120" s="1">
        <v>8</v>
      </c>
      <c r="B120" s="2" t="s">
        <v>12</v>
      </c>
      <c r="C120" s="10">
        <v>6</v>
      </c>
      <c r="D120" s="2" t="s">
        <v>20</v>
      </c>
      <c r="E120" s="2" t="s">
        <v>15</v>
      </c>
      <c r="F120" s="2" t="s">
        <v>15</v>
      </c>
      <c r="G120" s="2" t="s">
        <v>15</v>
      </c>
      <c r="H120" s="2" t="s">
        <v>13</v>
      </c>
      <c r="I120" s="2" t="s">
        <v>15</v>
      </c>
      <c r="J120" s="9">
        <f t="shared" si="2"/>
        <v>0</v>
      </c>
      <c r="K120" s="8"/>
      <c r="L120" s="9">
        <v>0.5</v>
      </c>
      <c r="M120"/>
      <c r="N120"/>
      <c r="O120"/>
      <c r="P120"/>
      <c r="Q120"/>
    </row>
    <row r="121" spans="1:17">
      <c r="A121" s="1">
        <v>8</v>
      </c>
      <c r="B121" s="2" t="s">
        <v>12</v>
      </c>
      <c r="C121" s="10">
        <v>7</v>
      </c>
      <c r="D121" s="2" t="s">
        <v>21</v>
      </c>
      <c r="E121" s="2" t="s">
        <v>13</v>
      </c>
      <c r="F121" s="2" t="s">
        <v>15</v>
      </c>
      <c r="G121" s="2" t="s">
        <v>13</v>
      </c>
      <c r="H121" s="2" t="s">
        <v>15</v>
      </c>
      <c r="I121" s="2" t="s">
        <v>15</v>
      </c>
      <c r="J121" s="9">
        <f t="shared" si="2"/>
        <v>-3</v>
      </c>
      <c r="K121" s="8"/>
      <c r="L121" s="9">
        <v>0.5</v>
      </c>
      <c r="M121"/>
      <c r="N121"/>
      <c r="O121"/>
      <c r="P121"/>
      <c r="Q121"/>
    </row>
    <row r="122" spans="1:17">
      <c r="A122" s="1">
        <v>8</v>
      </c>
      <c r="B122" s="2" t="s">
        <v>12</v>
      </c>
      <c r="C122" s="10">
        <v>8</v>
      </c>
      <c r="D122" s="2" t="s">
        <v>22</v>
      </c>
      <c r="E122" s="2" t="s">
        <v>13</v>
      </c>
      <c r="F122" s="2" t="s">
        <v>15</v>
      </c>
      <c r="G122" s="2" t="s">
        <v>15</v>
      </c>
      <c r="H122" s="2" t="s">
        <v>13</v>
      </c>
      <c r="I122" s="2" t="s">
        <v>15</v>
      </c>
      <c r="J122" s="9">
        <f t="shared" si="2"/>
        <v>0</v>
      </c>
      <c r="K122" s="8"/>
      <c r="L122" s="9">
        <v>0.5</v>
      </c>
      <c r="M122"/>
      <c r="N122"/>
      <c r="O122"/>
      <c r="P122"/>
      <c r="Q122"/>
    </row>
    <row r="123" spans="1:17">
      <c r="A123" s="1">
        <v>8</v>
      </c>
      <c r="B123" s="2" t="s">
        <v>12</v>
      </c>
      <c r="C123" s="10">
        <v>9</v>
      </c>
      <c r="D123" s="2" t="s">
        <v>23</v>
      </c>
      <c r="E123" s="2" t="s">
        <v>13</v>
      </c>
      <c r="F123" s="2" t="s">
        <v>15</v>
      </c>
      <c r="G123" s="2" t="s">
        <v>15</v>
      </c>
      <c r="H123" s="2" t="s">
        <v>15</v>
      </c>
      <c r="I123" s="2" t="s">
        <v>15</v>
      </c>
      <c r="J123" s="9">
        <f t="shared" si="2"/>
        <v>-3</v>
      </c>
      <c r="K123" s="8"/>
      <c r="L123" s="9">
        <v>0.5</v>
      </c>
      <c r="M123"/>
      <c r="N123"/>
      <c r="O123"/>
      <c r="P123"/>
      <c r="Q123"/>
    </row>
    <row r="124" spans="1:17">
      <c r="A124" s="1">
        <v>8</v>
      </c>
      <c r="B124" s="2" t="s">
        <v>12</v>
      </c>
      <c r="C124" s="10">
        <v>10</v>
      </c>
      <c r="D124" s="2" t="s">
        <v>24</v>
      </c>
      <c r="E124" s="2" t="s">
        <v>13</v>
      </c>
      <c r="F124" s="2" t="s">
        <v>15</v>
      </c>
      <c r="G124" s="2" t="s">
        <v>15</v>
      </c>
      <c r="H124" s="2" t="s">
        <v>13</v>
      </c>
      <c r="I124" s="2" t="s">
        <v>15</v>
      </c>
      <c r="J124" s="9">
        <f t="shared" si="2"/>
        <v>0</v>
      </c>
      <c r="K124" s="8"/>
      <c r="L124" s="9">
        <v>0.5</v>
      </c>
      <c r="M124"/>
      <c r="N124"/>
      <c r="O124"/>
      <c r="P124"/>
      <c r="Q124"/>
    </row>
    <row r="125" spans="1:17">
      <c r="A125" s="1">
        <v>8</v>
      </c>
      <c r="B125" s="2" t="s">
        <v>12</v>
      </c>
      <c r="C125" s="10">
        <v>11</v>
      </c>
      <c r="D125" s="2" t="s">
        <v>25</v>
      </c>
      <c r="E125" s="2" t="s">
        <v>13</v>
      </c>
      <c r="F125" s="2" t="s">
        <v>15</v>
      </c>
      <c r="G125" s="2" t="s">
        <v>13</v>
      </c>
      <c r="H125" s="2" t="s">
        <v>13</v>
      </c>
      <c r="I125" s="2" t="s">
        <v>15</v>
      </c>
      <c r="J125" s="9">
        <f t="shared" si="2"/>
        <v>0</v>
      </c>
      <c r="K125" s="8"/>
      <c r="L125" s="9">
        <v>0.5</v>
      </c>
      <c r="M125"/>
      <c r="N125"/>
      <c r="O125"/>
      <c r="P125"/>
      <c r="Q125"/>
    </row>
    <row r="126" spans="1:17">
      <c r="A126" s="1">
        <v>8</v>
      </c>
      <c r="B126" s="2" t="s">
        <v>12</v>
      </c>
      <c r="C126" s="10">
        <v>12</v>
      </c>
      <c r="D126" s="2" t="s">
        <v>26</v>
      </c>
      <c r="E126" s="2" t="s">
        <v>13</v>
      </c>
      <c r="F126" s="2" t="s">
        <v>15</v>
      </c>
      <c r="G126" s="2" t="s">
        <v>15</v>
      </c>
      <c r="H126" s="2" t="s">
        <v>15</v>
      </c>
      <c r="I126" s="2" t="s">
        <v>15</v>
      </c>
      <c r="J126" s="9">
        <f t="shared" si="2"/>
        <v>-3</v>
      </c>
      <c r="K126" s="8"/>
      <c r="L126" s="9">
        <v>0.5</v>
      </c>
      <c r="M126"/>
      <c r="N126"/>
      <c r="O126"/>
      <c r="P126"/>
      <c r="Q126"/>
    </row>
    <row r="127" spans="1:17">
      <c r="A127" s="1">
        <v>8</v>
      </c>
      <c r="B127" s="2" t="s">
        <v>12</v>
      </c>
      <c r="C127" s="10">
        <v>13</v>
      </c>
      <c r="D127" s="2" t="s">
        <v>27</v>
      </c>
      <c r="E127" s="2" t="s">
        <v>15</v>
      </c>
      <c r="F127" s="2" t="s">
        <v>13</v>
      </c>
      <c r="G127" s="2" t="s">
        <v>15</v>
      </c>
      <c r="H127" s="2" t="s">
        <v>13</v>
      </c>
      <c r="I127" s="2" t="s">
        <v>15</v>
      </c>
      <c r="J127" s="9">
        <f t="shared" si="2"/>
        <v>0</v>
      </c>
      <c r="K127" s="8"/>
      <c r="L127" s="9">
        <v>0.5</v>
      </c>
      <c r="M127"/>
      <c r="N127"/>
      <c r="O127"/>
      <c r="P127"/>
      <c r="Q127"/>
    </row>
    <row r="128" spans="1:17">
      <c r="A128" s="1">
        <v>8</v>
      </c>
      <c r="B128" s="2" t="s">
        <v>12</v>
      </c>
      <c r="C128" s="10">
        <v>14</v>
      </c>
      <c r="D128" s="2" t="s">
        <v>28</v>
      </c>
      <c r="E128" s="2" t="s">
        <v>13</v>
      </c>
      <c r="F128" s="2" t="s">
        <v>15</v>
      </c>
      <c r="G128" s="2" t="s">
        <v>15</v>
      </c>
      <c r="H128" s="2" t="s">
        <v>15</v>
      </c>
      <c r="I128" s="2" t="s">
        <v>15</v>
      </c>
      <c r="J128" s="9">
        <f t="shared" si="2"/>
        <v>-3</v>
      </c>
      <c r="K128" s="8"/>
      <c r="L128" s="9">
        <v>0.5</v>
      </c>
      <c r="M128"/>
      <c r="N128"/>
      <c r="O128"/>
      <c r="P128"/>
      <c r="Q128"/>
    </row>
    <row r="129" spans="1:17">
      <c r="A129" s="1">
        <v>8</v>
      </c>
      <c r="B129" s="2" t="s">
        <v>12</v>
      </c>
      <c r="C129" s="10">
        <v>15</v>
      </c>
      <c r="D129" s="2" t="s">
        <v>29</v>
      </c>
      <c r="E129" s="2" t="s">
        <v>15</v>
      </c>
      <c r="F129" s="2" t="s">
        <v>13</v>
      </c>
      <c r="G129" s="2" t="s">
        <v>15</v>
      </c>
      <c r="H129" s="2" t="s">
        <v>13</v>
      </c>
      <c r="I129" s="2" t="s">
        <v>15</v>
      </c>
      <c r="J129" s="9">
        <f t="shared" si="2"/>
        <v>0</v>
      </c>
      <c r="K129" s="8"/>
      <c r="L129" s="9">
        <v>0.5</v>
      </c>
      <c r="M129"/>
      <c r="N129"/>
      <c r="O129"/>
      <c r="P129"/>
      <c r="Q129"/>
    </row>
    <row r="130" spans="1:17">
      <c r="A130" s="1">
        <v>8</v>
      </c>
      <c r="B130" s="2" t="s">
        <v>30</v>
      </c>
      <c r="C130" s="10">
        <v>16</v>
      </c>
      <c r="D130" s="2" t="s">
        <v>31</v>
      </c>
      <c r="E130" s="2" t="s">
        <v>13</v>
      </c>
      <c r="F130" s="2" t="s">
        <v>13</v>
      </c>
      <c r="G130" s="2" t="s">
        <v>15</v>
      </c>
      <c r="H130" s="2" t="s">
        <v>15</v>
      </c>
      <c r="I130" s="2" t="s">
        <v>15</v>
      </c>
      <c r="J130" s="9">
        <f t="shared" si="2"/>
        <v>-1</v>
      </c>
      <c r="K130" s="8"/>
      <c r="L130" s="9">
        <v>0.5</v>
      </c>
      <c r="M130"/>
      <c r="N130"/>
      <c r="O130"/>
      <c r="P130"/>
      <c r="Q130"/>
    </row>
    <row r="131" spans="1:17">
      <c r="A131" s="1">
        <v>9</v>
      </c>
      <c r="B131" s="2" t="s">
        <v>12</v>
      </c>
      <c r="C131" s="10">
        <v>1</v>
      </c>
      <c r="D131" s="2" t="s">
        <v>32</v>
      </c>
      <c r="E131" s="2" t="s">
        <v>13</v>
      </c>
      <c r="F131" s="2" t="s">
        <v>15</v>
      </c>
      <c r="G131" s="2" t="s">
        <v>13</v>
      </c>
      <c r="H131" s="2" t="s">
        <v>15</v>
      </c>
      <c r="I131" s="2" t="s">
        <v>15</v>
      </c>
      <c r="J131" s="9">
        <f t="shared" si="2"/>
        <v>-3</v>
      </c>
      <c r="K131" s="8"/>
      <c r="L131" s="9">
        <v>0.5</v>
      </c>
      <c r="M131"/>
      <c r="N131"/>
      <c r="O131"/>
      <c r="P131"/>
      <c r="Q131"/>
    </row>
    <row r="132" spans="1:17">
      <c r="A132" s="1">
        <v>9</v>
      </c>
      <c r="B132" s="2" t="s">
        <v>12</v>
      </c>
      <c r="C132" s="10">
        <v>2</v>
      </c>
      <c r="D132" s="2" t="s">
        <v>16</v>
      </c>
      <c r="E132" s="2" t="s">
        <v>13</v>
      </c>
      <c r="F132" s="2" t="s">
        <v>13</v>
      </c>
      <c r="G132" s="2" t="s">
        <v>13</v>
      </c>
      <c r="H132" s="2" t="s">
        <v>13</v>
      </c>
      <c r="I132" s="2" t="s">
        <v>13</v>
      </c>
      <c r="J132" s="9">
        <f t="shared" ref="J132:J162" si="3">IF(OR(C132=1,C132=3,C132=5,C132=7,C132=9,C132=12,C132=14),-3,IF(OR(C132=2,C132=4,C132=6,C132=8,C132=10,C132=11,C132=13,C132=15),0,-1))</f>
        <v>0</v>
      </c>
      <c r="K132" s="8"/>
      <c r="L132" s="9">
        <v>0.5</v>
      </c>
      <c r="M132"/>
      <c r="N132"/>
      <c r="O132"/>
      <c r="P132"/>
      <c r="Q132"/>
    </row>
    <row r="133" spans="1:17">
      <c r="A133" s="1">
        <v>9</v>
      </c>
      <c r="B133" s="2" t="s">
        <v>12</v>
      </c>
      <c r="C133" s="10">
        <v>3</v>
      </c>
      <c r="D133" s="2" t="s">
        <v>17</v>
      </c>
      <c r="E133" s="2" t="s">
        <v>13</v>
      </c>
      <c r="F133" s="2" t="s">
        <v>15</v>
      </c>
      <c r="G133" s="2" t="s">
        <v>13</v>
      </c>
      <c r="H133" s="2" t="s">
        <v>15</v>
      </c>
      <c r="I133" s="2" t="s">
        <v>15</v>
      </c>
      <c r="J133" s="9">
        <f t="shared" si="3"/>
        <v>-3</v>
      </c>
      <c r="K133" s="8"/>
      <c r="L133" s="9">
        <v>0.5</v>
      </c>
      <c r="M133"/>
      <c r="N133"/>
      <c r="O133"/>
      <c r="P133"/>
      <c r="Q133"/>
    </row>
    <row r="134" spans="1:17">
      <c r="A134" s="1">
        <v>9</v>
      </c>
      <c r="B134" s="2" t="s">
        <v>12</v>
      </c>
      <c r="C134" s="10">
        <v>4</v>
      </c>
      <c r="D134" s="2" t="s">
        <v>18</v>
      </c>
      <c r="E134" s="2" t="s">
        <v>15</v>
      </c>
      <c r="F134" s="2" t="s">
        <v>13</v>
      </c>
      <c r="G134" s="2" t="s">
        <v>15</v>
      </c>
      <c r="H134" s="2" t="s">
        <v>13</v>
      </c>
      <c r="I134" s="2" t="s">
        <v>15</v>
      </c>
      <c r="J134" s="9">
        <f t="shared" si="3"/>
        <v>0</v>
      </c>
      <c r="K134" s="8"/>
      <c r="L134" s="9">
        <v>0.5</v>
      </c>
      <c r="M134"/>
      <c r="N134"/>
      <c r="O134"/>
      <c r="P134"/>
      <c r="Q134"/>
    </row>
    <row r="135" spans="1:17">
      <c r="A135" s="1">
        <v>9</v>
      </c>
      <c r="B135" s="2" t="s">
        <v>12</v>
      </c>
      <c r="C135" s="10">
        <v>5</v>
      </c>
      <c r="D135" s="2" t="s">
        <v>19</v>
      </c>
      <c r="E135" s="2" t="s">
        <v>13</v>
      </c>
      <c r="F135" s="2" t="s">
        <v>15</v>
      </c>
      <c r="G135" s="2" t="s">
        <v>13</v>
      </c>
      <c r="H135" s="2" t="s">
        <v>15</v>
      </c>
      <c r="I135" s="2" t="s">
        <v>15</v>
      </c>
      <c r="J135" s="9">
        <f t="shared" si="3"/>
        <v>-3</v>
      </c>
      <c r="K135" s="8"/>
      <c r="L135" s="9">
        <v>0.5</v>
      </c>
      <c r="M135"/>
      <c r="N135"/>
      <c r="O135"/>
      <c r="P135"/>
      <c r="Q135"/>
    </row>
    <row r="136" spans="1:17">
      <c r="A136" s="1">
        <v>9</v>
      </c>
      <c r="B136" s="2" t="s">
        <v>12</v>
      </c>
      <c r="C136" s="10">
        <v>6</v>
      </c>
      <c r="D136" s="2" t="s">
        <v>20</v>
      </c>
      <c r="E136" s="2" t="s">
        <v>15</v>
      </c>
      <c r="F136" s="2" t="s">
        <v>15</v>
      </c>
      <c r="G136" s="2" t="s">
        <v>15</v>
      </c>
      <c r="H136" s="2" t="s">
        <v>13</v>
      </c>
      <c r="I136" s="2" t="s">
        <v>15</v>
      </c>
      <c r="J136" s="9">
        <f t="shared" si="3"/>
        <v>0</v>
      </c>
      <c r="K136" s="8"/>
      <c r="L136" s="9">
        <v>0.5</v>
      </c>
      <c r="M136"/>
      <c r="N136"/>
      <c r="O136"/>
      <c r="P136"/>
      <c r="Q136"/>
    </row>
    <row r="137" spans="1:17">
      <c r="A137" s="1">
        <v>9</v>
      </c>
      <c r="B137" s="2" t="s">
        <v>12</v>
      </c>
      <c r="C137" s="10">
        <v>7</v>
      </c>
      <c r="D137" s="2" t="s">
        <v>21</v>
      </c>
      <c r="E137" s="2" t="s">
        <v>13</v>
      </c>
      <c r="F137" s="2" t="s">
        <v>15</v>
      </c>
      <c r="G137" s="2" t="s">
        <v>13</v>
      </c>
      <c r="H137" s="2" t="s">
        <v>15</v>
      </c>
      <c r="I137" s="2" t="s">
        <v>15</v>
      </c>
      <c r="J137" s="9">
        <f t="shared" si="3"/>
        <v>-3</v>
      </c>
      <c r="K137" s="8"/>
      <c r="L137" s="9">
        <v>0.5</v>
      </c>
      <c r="M137"/>
      <c r="N137"/>
      <c r="O137"/>
      <c r="P137"/>
      <c r="Q137"/>
    </row>
    <row r="138" spans="1:17">
      <c r="A138" s="1">
        <v>9</v>
      </c>
      <c r="B138" s="2" t="s">
        <v>12</v>
      </c>
      <c r="C138" s="10">
        <v>8</v>
      </c>
      <c r="D138" s="2" t="s">
        <v>22</v>
      </c>
      <c r="E138" s="2" t="s">
        <v>13</v>
      </c>
      <c r="F138" s="2" t="s">
        <v>13</v>
      </c>
      <c r="G138" s="2" t="s">
        <v>15</v>
      </c>
      <c r="H138" s="2" t="s">
        <v>13</v>
      </c>
      <c r="I138" s="2" t="s">
        <v>15</v>
      </c>
      <c r="J138" s="9">
        <f t="shared" si="3"/>
        <v>0</v>
      </c>
      <c r="K138" s="8"/>
      <c r="L138" s="9">
        <v>0.5</v>
      </c>
      <c r="M138"/>
      <c r="N138"/>
      <c r="O138"/>
      <c r="P138"/>
      <c r="Q138"/>
    </row>
    <row r="139" spans="1:17">
      <c r="A139" s="1">
        <v>9</v>
      </c>
      <c r="B139" s="2" t="s">
        <v>12</v>
      </c>
      <c r="C139" s="10">
        <v>9</v>
      </c>
      <c r="D139" s="2" t="s">
        <v>23</v>
      </c>
      <c r="E139" s="2" t="s">
        <v>13</v>
      </c>
      <c r="F139" s="2" t="s">
        <v>15</v>
      </c>
      <c r="G139" s="2" t="s">
        <v>13</v>
      </c>
      <c r="H139" s="2" t="s">
        <v>15</v>
      </c>
      <c r="I139" s="2" t="s">
        <v>15</v>
      </c>
      <c r="J139" s="9">
        <f t="shared" si="3"/>
        <v>-3</v>
      </c>
      <c r="K139" s="8"/>
      <c r="L139" s="9">
        <v>0.5</v>
      </c>
      <c r="M139"/>
      <c r="N139"/>
      <c r="O139"/>
      <c r="P139"/>
      <c r="Q139"/>
    </row>
    <row r="140" spans="1:17">
      <c r="A140" s="1">
        <v>9</v>
      </c>
      <c r="B140" s="2" t="s">
        <v>12</v>
      </c>
      <c r="C140" s="10">
        <v>10</v>
      </c>
      <c r="D140" s="2" t="s">
        <v>24</v>
      </c>
      <c r="E140" s="2" t="s">
        <v>15</v>
      </c>
      <c r="F140" s="2" t="s">
        <v>13</v>
      </c>
      <c r="G140" s="2" t="s">
        <v>15</v>
      </c>
      <c r="H140" s="2" t="s">
        <v>13</v>
      </c>
      <c r="I140" s="2" t="s">
        <v>15</v>
      </c>
      <c r="J140" s="9">
        <f t="shared" si="3"/>
        <v>0</v>
      </c>
      <c r="K140" s="8"/>
      <c r="L140" s="9">
        <v>0.5</v>
      </c>
      <c r="M140"/>
      <c r="N140"/>
      <c r="O140"/>
      <c r="P140"/>
      <c r="Q140"/>
    </row>
    <row r="141" spans="1:17">
      <c r="A141" s="1">
        <v>9</v>
      </c>
      <c r="B141" s="2" t="s">
        <v>12</v>
      </c>
      <c r="C141" s="10">
        <v>11</v>
      </c>
      <c r="D141" s="2" t="s">
        <v>25</v>
      </c>
      <c r="E141" s="2" t="s">
        <v>13</v>
      </c>
      <c r="F141" s="2" t="s">
        <v>13</v>
      </c>
      <c r="G141" s="2" t="s">
        <v>13</v>
      </c>
      <c r="H141" s="2" t="s">
        <v>13</v>
      </c>
      <c r="I141" s="2" t="s">
        <v>15</v>
      </c>
      <c r="J141" s="9">
        <f t="shared" si="3"/>
        <v>0</v>
      </c>
      <c r="K141" s="8"/>
      <c r="L141" s="9">
        <v>0.5</v>
      </c>
      <c r="M141"/>
      <c r="N141"/>
      <c r="O141"/>
      <c r="P141"/>
      <c r="Q141"/>
    </row>
    <row r="142" spans="1:17">
      <c r="A142" s="1">
        <v>9</v>
      </c>
      <c r="B142" s="2" t="s">
        <v>12</v>
      </c>
      <c r="C142" s="10">
        <v>12</v>
      </c>
      <c r="D142" s="2" t="s">
        <v>26</v>
      </c>
      <c r="E142" s="2" t="s">
        <v>13</v>
      </c>
      <c r="F142" s="2" t="s">
        <v>15</v>
      </c>
      <c r="G142" s="2" t="s">
        <v>13</v>
      </c>
      <c r="H142" s="2" t="s">
        <v>15</v>
      </c>
      <c r="I142" s="2" t="s">
        <v>15</v>
      </c>
      <c r="J142" s="9">
        <f t="shared" si="3"/>
        <v>-3</v>
      </c>
      <c r="K142" s="8"/>
      <c r="L142" s="9">
        <v>0.5</v>
      </c>
      <c r="M142"/>
      <c r="N142"/>
      <c r="O142"/>
      <c r="P142"/>
      <c r="Q142"/>
    </row>
    <row r="143" spans="1:17">
      <c r="A143" s="1">
        <v>9</v>
      </c>
      <c r="B143" s="2" t="s">
        <v>12</v>
      </c>
      <c r="C143" s="10">
        <v>13</v>
      </c>
      <c r="D143" s="2" t="s">
        <v>27</v>
      </c>
      <c r="E143" s="2" t="s">
        <v>15</v>
      </c>
      <c r="F143" s="2" t="s">
        <v>13</v>
      </c>
      <c r="G143" s="2" t="s">
        <v>15</v>
      </c>
      <c r="H143" s="2" t="s">
        <v>13</v>
      </c>
      <c r="I143" s="2" t="s">
        <v>13</v>
      </c>
      <c r="J143" s="9">
        <f t="shared" si="3"/>
        <v>0</v>
      </c>
      <c r="K143" s="8"/>
      <c r="L143" s="9">
        <v>0.5</v>
      </c>
      <c r="M143"/>
      <c r="N143"/>
      <c r="O143"/>
      <c r="P143"/>
      <c r="Q143"/>
    </row>
    <row r="144" spans="1:17">
      <c r="A144" s="1">
        <v>9</v>
      </c>
      <c r="B144" s="2" t="s">
        <v>12</v>
      </c>
      <c r="C144" s="10">
        <v>14</v>
      </c>
      <c r="D144" s="2" t="s">
        <v>28</v>
      </c>
      <c r="E144" s="2" t="s">
        <v>13</v>
      </c>
      <c r="F144" s="2" t="s">
        <v>15</v>
      </c>
      <c r="G144" s="2" t="s">
        <v>13</v>
      </c>
      <c r="H144" s="2" t="s">
        <v>15</v>
      </c>
      <c r="I144" s="2" t="s">
        <v>15</v>
      </c>
      <c r="J144" s="9">
        <f t="shared" si="3"/>
        <v>-3</v>
      </c>
      <c r="K144" s="8"/>
      <c r="L144" s="9">
        <v>0.5</v>
      </c>
      <c r="M144"/>
      <c r="N144"/>
      <c r="O144"/>
      <c r="P144"/>
      <c r="Q144"/>
    </row>
    <row r="145" spans="1:17">
      <c r="A145" s="1">
        <v>9</v>
      </c>
      <c r="B145" s="2" t="s">
        <v>12</v>
      </c>
      <c r="C145" s="10">
        <v>15</v>
      </c>
      <c r="D145" s="2" t="s">
        <v>29</v>
      </c>
      <c r="E145" s="2" t="s">
        <v>15</v>
      </c>
      <c r="F145" s="2" t="s">
        <v>13</v>
      </c>
      <c r="G145" s="2" t="s">
        <v>15</v>
      </c>
      <c r="H145" s="2" t="s">
        <v>13</v>
      </c>
      <c r="I145" s="2" t="s">
        <v>15</v>
      </c>
      <c r="J145" s="9">
        <f t="shared" si="3"/>
        <v>0</v>
      </c>
      <c r="K145" s="8"/>
      <c r="L145" s="9">
        <v>0.5</v>
      </c>
      <c r="M145"/>
      <c r="N145"/>
      <c r="O145"/>
      <c r="P145"/>
      <c r="Q145"/>
    </row>
    <row r="146" spans="1:17">
      <c r="A146" s="1">
        <v>9</v>
      </c>
      <c r="B146" s="2" t="s">
        <v>30</v>
      </c>
      <c r="C146" s="10">
        <v>16</v>
      </c>
      <c r="D146" s="2" t="s">
        <v>31</v>
      </c>
      <c r="E146" s="2" t="s">
        <v>15</v>
      </c>
      <c r="F146" s="2" t="s">
        <v>13</v>
      </c>
      <c r="G146" s="2" t="s">
        <v>15</v>
      </c>
      <c r="H146" s="2" t="s">
        <v>15</v>
      </c>
      <c r="I146" s="2" t="s">
        <v>13</v>
      </c>
      <c r="J146" s="9">
        <f t="shared" si="3"/>
        <v>-1</v>
      </c>
      <c r="K146" s="8"/>
      <c r="L146" s="9">
        <v>0.5</v>
      </c>
      <c r="M146"/>
      <c r="N146"/>
      <c r="O146"/>
      <c r="P146"/>
      <c r="Q146"/>
    </row>
    <row r="147" spans="1:17">
      <c r="A147" s="1">
        <v>10</v>
      </c>
      <c r="B147" s="2" t="s">
        <v>12</v>
      </c>
      <c r="C147" s="10">
        <v>1</v>
      </c>
      <c r="D147" s="2" t="s">
        <v>32</v>
      </c>
      <c r="E147" s="2" t="s">
        <v>13</v>
      </c>
      <c r="F147" s="2" t="s">
        <v>15</v>
      </c>
      <c r="G147" s="2" t="s">
        <v>13</v>
      </c>
      <c r="H147" s="2" t="s">
        <v>15</v>
      </c>
      <c r="I147" s="2" t="s">
        <v>15</v>
      </c>
      <c r="J147" s="9">
        <f t="shared" si="3"/>
        <v>-3</v>
      </c>
      <c r="K147" s="8"/>
      <c r="L147" s="9">
        <v>0.5</v>
      </c>
      <c r="M147" s="12"/>
      <c r="N147" s="12"/>
      <c r="O147" s="12"/>
      <c r="P147" s="12"/>
      <c r="Q147" s="12"/>
    </row>
    <row r="148" spans="1:17">
      <c r="A148" s="1">
        <v>10</v>
      </c>
      <c r="B148" s="2" t="s">
        <v>12</v>
      </c>
      <c r="C148" s="10">
        <v>2</v>
      </c>
      <c r="D148" s="2" t="s">
        <v>16</v>
      </c>
      <c r="E148" s="2" t="s">
        <v>15</v>
      </c>
      <c r="F148" s="2" t="s">
        <v>15</v>
      </c>
      <c r="G148" s="2" t="s">
        <v>15</v>
      </c>
      <c r="H148" s="2" t="s">
        <v>13</v>
      </c>
      <c r="I148" s="2" t="s">
        <v>15</v>
      </c>
      <c r="J148" s="9">
        <f t="shared" si="3"/>
        <v>0</v>
      </c>
      <c r="K148" s="8"/>
      <c r="L148" s="9">
        <v>0.5</v>
      </c>
      <c r="M148"/>
      <c r="N148"/>
      <c r="O148"/>
      <c r="P148"/>
      <c r="Q148"/>
    </row>
    <row r="149" spans="1:17">
      <c r="A149" s="1">
        <v>10</v>
      </c>
      <c r="B149" s="2" t="s">
        <v>12</v>
      </c>
      <c r="C149" s="10">
        <v>3</v>
      </c>
      <c r="D149" s="2" t="s">
        <v>17</v>
      </c>
      <c r="E149" s="2" t="s">
        <v>13</v>
      </c>
      <c r="F149" s="2" t="s">
        <v>15</v>
      </c>
      <c r="G149" s="2" t="s">
        <v>15</v>
      </c>
      <c r="H149" s="2" t="s">
        <v>15</v>
      </c>
      <c r="I149" s="2" t="s">
        <v>15</v>
      </c>
      <c r="J149" s="9">
        <f t="shared" si="3"/>
        <v>-3</v>
      </c>
      <c r="K149" s="8"/>
      <c r="L149" s="9">
        <v>0.5</v>
      </c>
      <c r="M149"/>
      <c r="N149"/>
      <c r="O149"/>
      <c r="P149"/>
      <c r="Q149"/>
    </row>
    <row r="150" spans="1:17">
      <c r="A150" s="1">
        <v>10</v>
      </c>
      <c r="B150" s="2" t="s">
        <v>12</v>
      </c>
      <c r="C150" s="10">
        <v>4</v>
      </c>
      <c r="D150" s="2" t="s">
        <v>18</v>
      </c>
      <c r="E150" s="2" t="s">
        <v>15</v>
      </c>
      <c r="F150" s="2" t="s">
        <v>15</v>
      </c>
      <c r="G150" s="2" t="s">
        <v>15</v>
      </c>
      <c r="H150" s="2" t="s">
        <v>13</v>
      </c>
      <c r="I150" s="2" t="s">
        <v>15</v>
      </c>
      <c r="J150" s="9">
        <f t="shared" si="3"/>
        <v>0</v>
      </c>
      <c r="K150" s="8"/>
      <c r="L150" s="9">
        <v>0.5</v>
      </c>
      <c r="M150"/>
      <c r="N150"/>
      <c r="O150"/>
      <c r="P150"/>
      <c r="Q150"/>
    </row>
    <row r="151" spans="1:17">
      <c r="A151" s="1">
        <v>10</v>
      </c>
      <c r="B151" s="2" t="s">
        <v>12</v>
      </c>
      <c r="C151" s="10">
        <v>5</v>
      </c>
      <c r="D151" s="2" t="s">
        <v>19</v>
      </c>
      <c r="E151" s="2" t="s">
        <v>13</v>
      </c>
      <c r="F151" s="2" t="s">
        <v>15</v>
      </c>
      <c r="G151" s="2" t="s">
        <v>15</v>
      </c>
      <c r="H151" s="2" t="s">
        <v>15</v>
      </c>
      <c r="I151" s="2" t="s">
        <v>15</v>
      </c>
      <c r="J151" s="9">
        <f t="shared" si="3"/>
        <v>-3</v>
      </c>
      <c r="K151" s="8"/>
      <c r="L151" s="9">
        <v>0.5</v>
      </c>
      <c r="M151"/>
      <c r="N151"/>
      <c r="O151"/>
      <c r="P151"/>
      <c r="Q151"/>
    </row>
    <row r="152" spans="1:17">
      <c r="A152" s="1">
        <v>10</v>
      </c>
      <c r="B152" s="2" t="s">
        <v>12</v>
      </c>
      <c r="C152" s="10">
        <v>6</v>
      </c>
      <c r="D152" s="2" t="s">
        <v>20</v>
      </c>
      <c r="E152" s="2" t="s">
        <v>15</v>
      </c>
      <c r="F152" s="2" t="s">
        <v>15</v>
      </c>
      <c r="G152" s="2" t="s">
        <v>15</v>
      </c>
      <c r="H152" s="2" t="s">
        <v>13</v>
      </c>
      <c r="I152" s="2" t="s">
        <v>15</v>
      </c>
      <c r="J152" s="9">
        <f t="shared" si="3"/>
        <v>0</v>
      </c>
      <c r="K152" s="8"/>
      <c r="L152" s="9">
        <v>0.5</v>
      </c>
      <c r="M152"/>
      <c r="N152"/>
      <c r="O152"/>
      <c r="P152"/>
      <c r="Q152"/>
    </row>
    <row r="153" spans="1:17">
      <c r="A153" s="1">
        <v>10</v>
      </c>
      <c r="B153" s="2" t="s">
        <v>12</v>
      </c>
      <c r="C153" s="10">
        <v>7</v>
      </c>
      <c r="D153" s="2" t="s">
        <v>21</v>
      </c>
      <c r="E153" s="2" t="s">
        <v>13</v>
      </c>
      <c r="F153" s="2" t="s">
        <v>15</v>
      </c>
      <c r="G153" s="2" t="s">
        <v>15</v>
      </c>
      <c r="H153" s="2" t="s">
        <v>15</v>
      </c>
      <c r="I153" s="2" t="s">
        <v>15</v>
      </c>
      <c r="J153" s="9">
        <f t="shared" si="3"/>
        <v>-3</v>
      </c>
      <c r="K153" s="8"/>
      <c r="L153" s="9">
        <v>0.5</v>
      </c>
      <c r="M153"/>
      <c r="N153"/>
      <c r="O153"/>
      <c r="P153"/>
      <c r="Q153"/>
    </row>
    <row r="154" spans="1:17">
      <c r="A154" s="1">
        <v>10</v>
      </c>
      <c r="B154" s="2" t="s">
        <v>12</v>
      </c>
      <c r="C154" s="10">
        <v>8</v>
      </c>
      <c r="D154" s="2" t="s">
        <v>22</v>
      </c>
      <c r="E154" s="2" t="s">
        <v>15</v>
      </c>
      <c r="F154" s="2" t="s">
        <v>15</v>
      </c>
      <c r="G154" s="2" t="s">
        <v>15</v>
      </c>
      <c r="H154" s="2" t="s">
        <v>13</v>
      </c>
      <c r="I154" s="2" t="s">
        <v>15</v>
      </c>
      <c r="J154" s="9">
        <f t="shared" si="3"/>
        <v>0</v>
      </c>
      <c r="K154" s="8"/>
      <c r="L154" s="9">
        <v>0.5</v>
      </c>
      <c r="M154"/>
      <c r="N154"/>
      <c r="O154"/>
      <c r="P154"/>
      <c r="Q154"/>
    </row>
    <row r="155" spans="1:17">
      <c r="A155" s="1">
        <v>10</v>
      </c>
      <c r="B155" s="2" t="s">
        <v>12</v>
      </c>
      <c r="C155" s="10">
        <v>9</v>
      </c>
      <c r="D155" s="2" t="s">
        <v>23</v>
      </c>
      <c r="E155" s="2" t="s">
        <v>13</v>
      </c>
      <c r="F155" s="2" t="s">
        <v>15</v>
      </c>
      <c r="G155" s="2" t="s">
        <v>15</v>
      </c>
      <c r="H155" s="2" t="s">
        <v>15</v>
      </c>
      <c r="I155" s="2" t="s">
        <v>15</v>
      </c>
      <c r="J155" s="9">
        <f t="shared" si="3"/>
        <v>-3</v>
      </c>
      <c r="K155" s="8"/>
      <c r="L155" s="9">
        <v>0.5</v>
      </c>
      <c r="M155"/>
      <c r="N155"/>
      <c r="O155"/>
      <c r="P155"/>
      <c r="Q155"/>
    </row>
    <row r="156" spans="1:17">
      <c r="A156" s="1">
        <v>10</v>
      </c>
      <c r="B156" s="2" t="s">
        <v>12</v>
      </c>
      <c r="C156" s="10">
        <v>10</v>
      </c>
      <c r="D156" s="2" t="s">
        <v>24</v>
      </c>
      <c r="E156" s="2" t="s">
        <v>15</v>
      </c>
      <c r="F156" s="2" t="s">
        <v>15</v>
      </c>
      <c r="G156" s="2" t="s">
        <v>15</v>
      </c>
      <c r="H156" s="2" t="s">
        <v>13</v>
      </c>
      <c r="I156" s="2" t="s">
        <v>15</v>
      </c>
      <c r="J156" s="9">
        <f t="shared" si="3"/>
        <v>0</v>
      </c>
      <c r="K156" s="8"/>
      <c r="L156" s="9">
        <v>0.5</v>
      </c>
      <c r="M156"/>
      <c r="N156"/>
      <c r="O156"/>
      <c r="P156"/>
      <c r="Q156"/>
    </row>
    <row r="157" spans="1:17">
      <c r="A157" s="1">
        <v>10</v>
      </c>
      <c r="B157" s="2" t="s">
        <v>12</v>
      </c>
      <c r="C157" s="10">
        <v>11</v>
      </c>
      <c r="D157" s="2" t="s">
        <v>25</v>
      </c>
      <c r="E157" s="2" t="s">
        <v>13</v>
      </c>
      <c r="F157" s="2" t="s">
        <v>15</v>
      </c>
      <c r="G157" s="2" t="s">
        <v>15</v>
      </c>
      <c r="H157" s="2" t="s">
        <v>13</v>
      </c>
      <c r="I157" s="2" t="s">
        <v>15</v>
      </c>
      <c r="J157" s="9">
        <f t="shared" si="3"/>
        <v>0</v>
      </c>
      <c r="K157" s="8"/>
      <c r="L157" s="9">
        <v>0.5</v>
      </c>
      <c r="M157"/>
      <c r="N157"/>
      <c r="O157"/>
      <c r="P157"/>
      <c r="Q157"/>
    </row>
    <row r="158" spans="1:17">
      <c r="A158" s="1">
        <v>10</v>
      </c>
      <c r="B158" s="2" t="s">
        <v>12</v>
      </c>
      <c r="C158" s="10">
        <v>12</v>
      </c>
      <c r="D158" s="2" t="s">
        <v>26</v>
      </c>
      <c r="E158" s="2" t="s">
        <v>13</v>
      </c>
      <c r="F158" s="2" t="s">
        <v>15</v>
      </c>
      <c r="G158" s="2" t="s">
        <v>15</v>
      </c>
      <c r="H158" s="2" t="s">
        <v>15</v>
      </c>
      <c r="I158" s="2" t="s">
        <v>15</v>
      </c>
      <c r="J158" s="9">
        <f t="shared" si="3"/>
        <v>-3</v>
      </c>
      <c r="K158" s="8"/>
      <c r="L158" s="9">
        <v>0.5</v>
      </c>
      <c r="M158"/>
      <c r="N158"/>
      <c r="O158"/>
      <c r="P158"/>
      <c r="Q158"/>
    </row>
    <row r="159" spans="1:17">
      <c r="A159" s="1">
        <v>10</v>
      </c>
      <c r="B159" s="2" t="s">
        <v>12</v>
      </c>
      <c r="C159" s="10">
        <v>13</v>
      </c>
      <c r="D159" s="2" t="s">
        <v>27</v>
      </c>
      <c r="E159" s="2" t="s">
        <v>15</v>
      </c>
      <c r="F159" s="2" t="s">
        <v>15</v>
      </c>
      <c r="G159" s="2" t="s">
        <v>15</v>
      </c>
      <c r="H159" s="2" t="s">
        <v>13</v>
      </c>
      <c r="I159" s="2" t="s">
        <v>15</v>
      </c>
      <c r="J159" s="9">
        <f t="shared" si="3"/>
        <v>0</v>
      </c>
      <c r="K159" s="8"/>
      <c r="L159" s="9">
        <v>0.5</v>
      </c>
      <c r="M159"/>
      <c r="N159"/>
      <c r="O159"/>
      <c r="P159"/>
      <c r="Q159"/>
    </row>
    <row r="160" spans="1:17">
      <c r="A160" s="1">
        <v>10</v>
      </c>
      <c r="B160" s="2" t="s">
        <v>12</v>
      </c>
      <c r="C160" s="10">
        <v>14</v>
      </c>
      <c r="D160" s="2" t="s">
        <v>28</v>
      </c>
      <c r="E160" s="2" t="s">
        <v>13</v>
      </c>
      <c r="F160" s="2" t="s">
        <v>15</v>
      </c>
      <c r="G160" s="2" t="s">
        <v>15</v>
      </c>
      <c r="H160" s="2" t="s">
        <v>15</v>
      </c>
      <c r="I160" s="2" t="s">
        <v>15</v>
      </c>
      <c r="J160" s="9">
        <f t="shared" si="3"/>
        <v>-3</v>
      </c>
      <c r="K160" s="8"/>
      <c r="L160" s="9">
        <v>0.5</v>
      </c>
      <c r="M160"/>
      <c r="N160"/>
      <c r="O160"/>
      <c r="P160"/>
      <c r="Q160"/>
    </row>
    <row r="161" spans="1:17">
      <c r="A161" s="1">
        <v>10</v>
      </c>
      <c r="B161" s="2" t="s">
        <v>12</v>
      </c>
      <c r="C161" s="10">
        <v>15</v>
      </c>
      <c r="D161" s="2" t="s">
        <v>29</v>
      </c>
      <c r="E161" s="2" t="s">
        <v>15</v>
      </c>
      <c r="F161" s="2" t="s">
        <v>15</v>
      </c>
      <c r="G161" s="2" t="s">
        <v>15</v>
      </c>
      <c r="H161" s="2" t="s">
        <v>13</v>
      </c>
      <c r="I161" s="2" t="s">
        <v>15</v>
      </c>
      <c r="J161" s="9">
        <f t="shared" si="3"/>
        <v>0</v>
      </c>
      <c r="K161" s="8"/>
      <c r="L161" s="9">
        <v>0.5</v>
      </c>
      <c r="M161"/>
      <c r="N161"/>
      <c r="O161"/>
      <c r="P161"/>
      <c r="Q161"/>
    </row>
    <row r="162" spans="1:17">
      <c r="A162" s="1">
        <v>10</v>
      </c>
      <c r="B162" s="2" t="s">
        <v>30</v>
      </c>
      <c r="C162" s="10">
        <v>16</v>
      </c>
      <c r="D162" s="2" t="s">
        <v>31</v>
      </c>
      <c r="E162" s="2" t="s">
        <v>15</v>
      </c>
      <c r="F162" s="2" t="s">
        <v>15</v>
      </c>
      <c r="G162" s="2" t="s">
        <v>15</v>
      </c>
      <c r="H162" s="2" t="s">
        <v>15</v>
      </c>
      <c r="I162" s="2" t="s">
        <v>13</v>
      </c>
      <c r="J162" s="9">
        <f t="shared" si="3"/>
        <v>-1</v>
      </c>
      <c r="K162" s="8"/>
      <c r="L162" s="9">
        <v>0.5</v>
      </c>
      <c r="M162"/>
      <c r="N162"/>
      <c r="O162"/>
      <c r="P162"/>
      <c r="Q162"/>
    </row>
    <row r="163" spans="1:17">
      <c r="C163" s="11"/>
    </row>
    <row r="164" spans="1:17">
      <c r="C164" s="11"/>
      <c r="G164" s="4"/>
    </row>
    <row r="165" spans="1:17">
      <c r="C165" s="11"/>
    </row>
    <row r="166" spans="1:17">
      <c r="C166" s="11"/>
    </row>
    <row r="167" spans="1:17">
      <c r="C167" s="11"/>
    </row>
    <row r="168" spans="1:17">
      <c r="C168" s="11"/>
    </row>
    <row r="169" spans="1:17">
      <c r="C169" s="11"/>
    </row>
    <row r="170" spans="1:17">
      <c r="C170" s="11"/>
    </row>
    <row r="171" spans="1:17">
      <c r="C171" s="11"/>
    </row>
    <row r="172" spans="1:17">
      <c r="C172" s="11"/>
    </row>
    <row r="173" spans="1:17">
      <c r="C173" s="11"/>
    </row>
    <row r="174" spans="1:17">
      <c r="C174" s="11"/>
    </row>
    <row r="175" spans="1:17">
      <c r="C175" s="11"/>
    </row>
    <row r="176" spans="1:17">
      <c r="C176" s="11"/>
    </row>
    <row r="177" spans="3:3">
      <c r="C177" s="11"/>
    </row>
    <row r="178" spans="3:3">
      <c r="C178" s="11"/>
    </row>
    <row r="179" spans="3:3">
      <c r="C179" s="11"/>
    </row>
    <row r="180" spans="3:3">
      <c r="C180" s="11"/>
    </row>
    <row r="181" spans="3:3">
      <c r="C181" s="11"/>
    </row>
    <row r="182" spans="3:3">
      <c r="C182" s="11"/>
    </row>
    <row r="183" spans="3:3">
      <c r="C183" s="11"/>
    </row>
    <row r="184" spans="3:3">
      <c r="C184" s="11"/>
    </row>
    <row r="185" spans="3:3">
      <c r="C185" s="11"/>
    </row>
    <row r="186" spans="3:3">
      <c r="C186" s="11"/>
    </row>
    <row r="187" spans="3:3">
      <c r="C187" s="11"/>
    </row>
    <row r="188" spans="3:3">
      <c r="C188" s="11"/>
    </row>
    <row r="189" spans="3:3">
      <c r="C189" s="11"/>
    </row>
    <row r="190" spans="3:3">
      <c r="C190" s="11"/>
    </row>
    <row r="191" spans="3:3">
      <c r="C191" s="11"/>
    </row>
    <row r="192" spans="3:3">
      <c r="C192" s="11"/>
    </row>
    <row r="193" spans="3:3">
      <c r="C193" s="11"/>
    </row>
    <row r="194" spans="3:3">
      <c r="C194" s="11"/>
    </row>
    <row r="195" spans="3:3">
      <c r="C195" s="11"/>
    </row>
    <row r="196" spans="3:3">
      <c r="C196" s="11"/>
    </row>
    <row r="197" spans="3:3">
      <c r="C197" s="11"/>
    </row>
    <row r="198" spans="3:3">
      <c r="C198" s="11"/>
    </row>
    <row r="199" spans="3:3">
      <c r="C199" s="11"/>
    </row>
    <row r="200" spans="3:3">
      <c r="C200" s="11"/>
    </row>
    <row r="201" spans="3:3">
      <c r="C201" s="11"/>
    </row>
    <row r="202" spans="3:3">
      <c r="C202" s="11"/>
    </row>
    <row r="203" spans="3:3">
      <c r="C203" s="11"/>
    </row>
    <row r="204" spans="3:3">
      <c r="C204" s="11"/>
    </row>
    <row r="205" spans="3:3">
      <c r="C205" s="11"/>
    </row>
    <row r="206" spans="3:3">
      <c r="C206" s="11"/>
    </row>
    <row r="207" spans="3:3">
      <c r="C207" s="11"/>
    </row>
    <row r="208" spans="3:3">
      <c r="C208" s="11"/>
    </row>
    <row r="209" spans="3:3">
      <c r="C209" s="11"/>
    </row>
    <row r="210" spans="3:3">
      <c r="C210" s="11"/>
    </row>
    <row r="211" spans="3:3">
      <c r="C211" s="11"/>
    </row>
    <row r="212" spans="3:3">
      <c r="C212" s="11"/>
    </row>
    <row r="213" spans="3:3">
      <c r="C213" s="11"/>
    </row>
    <row r="214" spans="3:3">
      <c r="C214" s="11"/>
    </row>
    <row r="215" spans="3:3">
      <c r="C215" s="11"/>
    </row>
    <row r="216" spans="3:3">
      <c r="C216" s="11"/>
    </row>
    <row r="217" spans="3:3">
      <c r="C217" s="11"/>
    </row>
    <row r="218" spans="3:3">
      <c r="C218" s="11"/>
    </row>
    <row r="219" spans="3:3">
      <c r="C219" s="11"/>
    </row>
    <row r="220" spans="3:3">
      <c r="C220" s="11"/>
    </row>
    <row r="221" spans="3:3">
      <c r="C221" s="11"/>
    </row>
    <row r="222" spans="3:3">
      <c r="C222" s="11"/>
    </row>
    <row r="223" spans="3:3">
      <c r="C223" s="11"/>
    </row>
    <row r="224" spans="3:3">
      <c r="C224" s="11"/>
    </row>
    <row r="225" spans="3:3">
      <c r="C225" s="11"/>
    </row>
    <row r="226" spans="3:3">
      <c r="C226" s="11"/>
    </row>
    <row r="227" spans="3:3">
      <c r="C227" s="11"/>
    </row>
    <row r="228" spans="3:3">
      <c r="C228" s="11"/>
    </row>
    <row r="229" spans="3:3">
      <c r="C229" s="11"/>
    </row>
    <row r="230" spans="3:3">
      <c r="C230" s="11"/>
    </row>
    <row r="231" spans="3:3">
      <c r="C231" s="11"/>
    </row>
    <row r="232" spans="3:3">
      <c r="C232" s="11"/>
    </row>
    <row r="233" spans="3:3">
      <c r="C233" s="11"/>
    </row>
    <row r="234" spans="3:3">
      <c r="C234" s="11"/>
    </row>
    <row r="235" spans="3:3">
      <c r="C235" s="11"/>
    </row>
    <row r="236" spans="3:3">
      <c r="C236" s="11"/>
    </row>
    <row r="237" spans="3:3">
      <c r="C237" s="11"/>
    </row>
    <row r="238" spans="3:3">
      <c r="C238" s="11"/>
    </row>
    <row r="239" spans="3:3">
      <c r="C239" s="11"/>
    </row>
    <row r="240" spans="3:3">
      <c r="C240" s="11"/>
    </row>
    <row r="241" spans="3:3">
      <c r="C241" s="11"/>
    </row>
    <row r="242" spans="3:3">
      <c r="C242" s="11"/>
    </row>
    <row r="243" spans="3:3">
      <c r="C243" s="11"/>
    </row>
    <row r="244" spans="3:3">
      <c r="C244" s="11"/>
    </row>
    <row r="245" spans="3:3">
      <c r="C245" s="11"/>
    </row>
    <row r="246" spans="3:3">
      <c r="C246" s="11"/>
    </row>
    <row r="247" spans="3:3">
      <c r="C247" s="11"/>
    </row>
    <row r="248" spans="3:3">
      <c r="C248" s="11"/>
    </row>
    <row r="249" spans="3:3">
      <c r="C249" s="11"/>
    </row>
    <row r="250" spans="3:3">
      <c r="C250" s="11"/>
    </row>
    <row r="251" spans="3:3">
      <c r="C251" s="11"/>
    </row>
    <row r="252" spans="3:3">
      <c r="C252" s="11"/>
    </row>
    <row r="253" spans="3:3">
      <c r="C253" s="11"/>
    </row>
    <row r="254" spans="3:3">
      <c r="C254" s="11"/>
    </row>
    <row r="255" spans="3:3">
      <c r="C255" s="11"/>
    </row>
    <row r="256" spans="3:3">
      <c r="C256" s="11"/>
    </row>
  </sheetData>
  <autoFilter ref="A2:I162" xr:uid="{C968D0E7-3B07-5C49-B1D4-65F66D1E0E61}"/>
  <mergeCells count="2">
    <mergeCell ref="E1:I1"/>
    <mergeCell ref="M1:Q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30AA6-2477-40CB-832B-88A0BFE6DD2D}">
  <sheetPr codeName="Sheet2" filterMode="1"/>
  <dimension ref="A1:BJ1048576"/>
  <sheetViews>
    <sheetView zoomScale="140" workbookViewId="0">
      <pane xSplit="1" topLeftCell="B1" activePane="topRight" state="frozen"/>
      <selection pane="topRight" activeCell="R23" sqref="R23"/>
    </sheetView>
  </sheetViews>
  <sheetFormatPr defaultColWidth="11" defaultRowHeight="15.95"/>
  <cols>
    <col min="2" max="2" width="12.625" customWidth="1"/>
    <col min="3" max="3" width="9" style="6"/>
    <col min="4" max="4" width="29.875" customWidth="1"/>
    <col min="5" max="9" width="9"/>
    <col min="10" max="10" width="9" style="9"/>
    <col min="11" max="11" width="9" style="7"/>
    <col min="12" max="12" width="9" style="9"/>
    <col min="13" max="13" width="14.875" style="3" bestFit="1" customWidth="1"/>
    <col min="14" max="14" width="14.375" style="3" bestFit="1" customWidth="1"/>
    <col min="15" max="15" width="17.125" style="3" bestFit="1" customWidth="1"/>
    <col min="16" max="16" width="14.125" style="3" bestFit="1" customWidth="1"/>
    <col min="17" max="17" width="11.125" style="3" bestFit="1" customWidth="1"/>
    <col min="18" max="18" width="11.125" style="3" customWidth="1"/>
    <col min="19" max="19" width="12.125" bestFit="1" customWidth="1"/>
    <col min="20" max="20" width="11.5" bestFit="1" customWidth="1"/>
    <col min="21" max="21" width="15" bestFit="1" customWidth="1"/>
    <col min="22" max="22" width="11.5" bestFit="1" customWidth="1"/>
    <col min="23" max="23" width="8.5" bestFit="1" customWidth="1"/>
    <col min="33" max="33" width="12.625" bestFit="1" customWidth="1"/>
    <col min="48" max="48" width="14" bestFit="1" customWidth="1"/>
  </cols>
  <sheetData>
    <row r="1" spans="1:62">
      <c r="E1" t="s">
        <v>0</v>
      </c>
      <c r="M1" s="3" t="s">
        <v>1</v>
      </c>
      <c r="R1" s="14"/>
      <c r="S1" t="s">
        <v>33</v>
      </c>
      <c r="AW1" s="41" t="s">
        <v>33</v>
      </c>
      <c r="AX1" s="41"/>
      <c r="AY1" s="41"/>
      <c r="AZ1" s="41"/>
      <c r="BA1" s="41"/>
      <c r="BE1" s="34"/>
      <c r="BF1" s="34" t="s">
        <v>33</v>
      </c>
      <c r="BG1" s="34"/>
      <c r="BH1" s="34"/>
      <c r="BI1" s="34"/>
      <c r="BJ1" s="34"/>
    </row>
    <row r="2" spans="1:62" hidden="1">
      <c r="A2" s="1" t="s">
        <v>2</v>
      </c>
      <c r="B2" s="1" t="s">
        <v>3</v>
      </c>
      <c r="C2" s="5" t="s">
        <v>4</v>
      </c>
      <c r="D2" s="1" t="s">
        <v>5</v>
      </c>
      <c r="E2" s="1" t="s">
        <v>6</v>
      </c>
      <c r="F2" s="1" t="s">
        <v>7</v>
      </c>
      <c r="G2" s="1" t="s">
        <v>8</v>
      </c>
      <c r="H2" s="1" t="s">
        <v>9</v>
      </c>
      <c r="I2" s="1" t="s">
        <v>10</v>
      </c>
      <c r="K2" t="s">
        <v>34</v>
      </c>
      <c r="L2" s="5" t="s">
        <v>4</v>
      </c>
      <c r="M2" s="1" t="s">
        <v>6</v>
      </c>
      <c r="N2" s="1" t="s">
        <v>7</v>
      </c>
      <c r="O2" s="1" t="s">
        <v>8</v>
      </c>
      <c r="P2" s="1" t="s">
        <v>9</v>
      </c>
      <c r="Q2" s="1" t="s">
        <v>10</v>
      </c>
      <c r="R2" s="1"/>
      <c r="S2" s="1" t="s">
        <v>35</v>
      </c>
      <c r="T2" s="1" t="s">
        <v>36</v>
      </c>
      <c r="U2" s="1" t="s">
        <v>37</v>
      </c>
      <c r="V2" s="1" t="s">
        <v>38</v>
      </c>
      <c r="W2" s="1" t="s">
        <v>39</v>
      </c>
      <c r="AG2" s="16" t="s">
        <v>2</v>
      </c>
      <c r="AH2" s="25" t="s">
        <v>40</v>
      </c>
      <c r="AJ2" s="16" t="s">
        <v>41</v>
      </c>
      <c r="AK2" s="25" t="s">
        <v>40</v>
      </c>
      <c r="AM2" s="16" t="s">
        <v>42</v>
      </c>
      <c r="AN2" s="25" t="s">
        <v>40</v>
      </c>
      <c r="AV2" s="24" t="s">
        <v>4</v>
      </c>
      <c r="AW2" s="1" t="s">
        <v>35</v>
      </c>
      <c r="AX2" s="1" t="s">
        <v>36</v>
      </c>
      <c r="AY2" s="1" t="s">
        <v>37</v>
      </c>
      <c r="AZ2" s="1" t="s">
        <v>38</v>
      </c>
      <c r="BA2" s="1" t="s">
        <v>39</v>
      </c>
      <c r="BE2" s="34" t="s">
        <v>4</v>
      </c>
      <c r="BF2" s="34" t="s">
        <v>35</v>
      </c>
      <c r="BG2" s="34" t="s">
        <v>36</v>
      </c>
      <c r="BH2" s="34" t="s">
        <v>37</v>
      </c>
      <c r="BI2" s="34" t="s">
        <v>38</v>
      </c>
      <c r="BJ2" s="34" t="s">
        <v>39</v>
      </c>
    </row>
    <row r="3" spans="1:62" hidden="1">
      <c r="A3" s="1">
        <v>1</v>
      </c>
      <c r="B3" s="2" t="s">
        <v>12</v>
      </c>
      <c r="C3" s="10">
        <v>1</v>
      </c>
      <c r="D3" s="2" t="s">
        <v>32</v>
      </c>
      <c r="E3" s="2">
        <v>1</v>
      </c>
      <c r="F3" s="2">
        <v>0</v>
      </c>
      <c r="G3" s="2">
        <v>1</v>
      </c>
      <c r="H3" s="2">
        <v>0</v>
      </c>
      <c r="I3" s="2">
        <v>0</v>
      </c>
      <c r="J3" s="9">
        <f>IF(OR(C3=1,C3=3,C3=5,C3=7,C3=9,C3=12,C3=14),-3,IF(OR(C3=2,C3=4,C3=6,C3=8,C3=10,C3=11,C3=13,C3=15),0,-1))</f>
        <v>-3</v>
      </c>
      <c r="K3" s="19">
        <f>SUM(IF(E3=M3,1,0),IF(F3=N3,1,0),IF(G3=O3,1,0),IF(H3=P3,1,0),IF(I3=Q3,1,0),J3)/IF(OR(C3=1,C3=3,C3=5,C3=7,C3=9,C3=12,C3=14),2,IF(OR(C3=2,C3=4,C3=6,C3=8,C3=10,C3=11,C3=13,C3=15),5,4))</f>
        <v>1</v>
      </c>
      <c r="L3" s="10">
        <v>1</v>
      </c>
      <c r="M3" s="13">
        <v>1</v>
      </c>
      <c r="N3" s="13">
        <v>0</v>
      </c>
      <c r="O3" s="13">
        <v>1</v>
      </c>
      <c r="P3" s="13">
        <v>0</v>
      </c>
      <c r="Q3" s="13">
        <v>0</v>
      </c>
      <c r="R3" s="13"/>
      <c r="S3">
        <f t="shared" ref="S3:S34" si="0">IF(E3=M3, 1, 0)</f>
        <v>1</v>
      </c>
      <c r="T3">
        <f t="shared" ref="T3:T34" si="1">IF(F3=N3, 1, 0)</f>
        <v>1</v>
      </c>
      <c r="U3">
        <f t="shared" ref="U3:U34" si="2">IF(G3=O3, 1, 0)</f>
        <v>1</v>
      </c>
      <c r="V3">
        <f t="shared" ref="V3:V34" si="3">IF(H3=P3, 1, 0)</f>
        <v>1</v>
      </c>
      <c r="W3">
        <f t="shared" ref="W3:W34" si="4">IF(I3=Q3, 1, 0)</f>
        <v>1</v>
      </c>
      <c r="X3" s="9">
        <v>0.5</v>
      </c>
      <c r="AG3" s="17">
        <v>1</v>
      </c>
      <c r="AH3" s="29">
        <f>AVERAGE(K3:K18)</f>
        <v>0.55624999999999991</v>
      </c>
      <c r="AJ3" s="17">
        <v>1</v>
      </c>
      <c r="AK3" s="17">
        <f>AVERAGEIF(C:C, 1, K:K)</f>
        <v>0.9</v>
      </c>
      <c r="AM3" s="17">
        <v>2</v>
      </c>
      <c r="AN3" s="17">
        <f>AVERAGEIF(C:C, 2, K:K)</f>
        <v>0.65999999999999992</v>
      </c>
      <c r="AV3" s="22">
        <v>1</v>
      </c>
      <c r="AW3" s="23">
        <f>AVERAGEIF(C:C, 1, S:S)</f>
        <v>1</v>
      </c>
      <c r="AX3" s="23">
        <f>AVERAGEIF(C:C, 1, T:T)</f>
        <v>1</v>
      </c>
      <c r="AY3" s="23">
        <f>AVERAGEIF(C:C, 1, U:U)</f>
        <v>0.8</v>
      </c>
      <c r="AZ3" s="23">
        <f>AVERAGEIF(C:C, 1, V:V)</f>
        <v>1</v>
      </c>
      <c r="BA3" s="23">
        <f>AVERAGEIF(C:C, 1, W:W)</f>
        <v>1</v>
      </c>
      <c r="BE3" s="34">
        <v>1</v>
      </c>
      <c r="BF3" s="34">
        <v>1</v>
      </c>
      <c r="BG3" s="34" t="s">
        <v>43</v>
      </c>
      <c r="BH3" s="34">
        <v>0.8</v>
      </c>
      <c r="BI3" s="34" t="s">
        <v>43</v>
      </c>
      <c r="BJ3" s="34" t="s">
        <v>43</v>
      </c>
    </row>
    <row r="4" spans="1:62" hidden="1">
      <c r="A4" s="1">
        <v>1</v>
      </c>
      <c r="B4" s="2" t="s">
        <v>12</v>
      </c>
      <c r="C4" s="10">
        <v>2</v>
      </c>
      <c r="D4" s="2" t="s">
        <v>16</v>
      </c>
      <c r="E4" s="2">
        <v>1</v>
      </c>
      <c r="F4" s="2">
        <v>0</v>
      </c>
      <c r="G4" s="2">
        <v>0</v>
      </c>
      <c r="H4" s="2">
        <v>0</v>
      </c>
      <c r="I4" s="2">
        <v>1</v>
      </c>
      <c r="J4" s="9">
        <f t="shared" ref="J4:J67" si="5">IF(OR(C4=1,C4=3,C4=5,C4=7,C4=9,C4=12,C4=14),-3,IF(OR(C4=2,C4=4,C4=6,C4=8,C4=10,C4=11,C4=13,C4=15),0,-1))</f>
        <v>0</v>
      </c>
      <c r="K4" s="19">
        <f>SUM(IF(E4=M4,1,0),IF(F4=N4,1,0),IF(G4=O4,1,0),IF(H4=P4,1,0),IF(I4=Q4,1,0))/IF(OR(C4=1,C4=3,C4=5,C4=7,C4=9,C4=12,C4=14),2,IF(OR(C4=2,C4=4,C4=6,C4=8,C4=10,C4=11,C4=13,C4=15),5,4))</f>
        <v>0.6</v>
      </c>
      <c r="L4" s="10">
        <v>2</v>
      </c>
      <c r="M4" s="33">
        <v>1</v>
      </c>
      <c r="N4" s="33">
        <v>0</v>
      </c>
      <c r="O4" s="33">
        <v>1</v>
      </c>
      <c r="P4" s="33">
        <v>1</v>
      </c>
      <c r="Q4" s="33">
        <v>1</v>
      </c>
      <c r="R4" s="13"/>
      <c r="S4">
        <f t="shared" si="0"/>
        <v>1</v>
      </c>
      <c r="T4">
        <f t="shared" si="1"/>
        <v>1</v>
      </c>
      <c r="U4">
        <f t="shared" si="2"/>
        <v>0</v>
      </c>
      <c r="V4">
        <f t="shared" si="3"/>
        <v>0</v>
      </c>
      <c r="W4">
        <f t="shared" si="4"/>
        <v>1</v>
      </c>
      <c r="X4" s="9">
        <v>0.5</v>
      </c>
      <c r="AG4" s="17">
        <v>2</v>
      </c>
      <c r="AH4" s="29">
        <f>AVERAGE(K19:K34)</f>
        <v>0.57499999999999996</v>
      </c>
      <c r="AJ4" s="17">
        <v>3</v>
      </c>
      <c r="AK4" s="17">
        <f>AVERAGEIF(C:C, 3, K:K)</f>
        <v>0.75</v>
      </c>
      <c r="AM4" s="17">
        <v>4</v>
      </c>
      <c r="AN4" s="17">
        <f>AVERAGEIF(C:C, 4, K:K)</f>
        <v>0.6</v>
      </c>
      <c r="AV4" s="17">
        <v>2</v>
      </c>
      <c r="AW4" s="6">
        <f>AVERAGEIF(C:C, 1, S:S)</f>
        <v>1</v>
      </c>
      <c r="AX4" s="6">
        <f>AVERAGEIF(C:C, 2, T:T)</f>
        <v>0.5</v>
      </c>
      <c r="AY4" s="6">
        <f>AVERAGEIF(C:C, 2, U:U)</f>
        <v>0.5</v>
      </c>
      <c r="AZ4" s="6">
        <f>AVERAGEIF(C:C, 2, V:V)</f>
        <v>0.9</v>
      </c>
      <c r="BA4" s="6">
        <f>AVERAGEIF(C:C, 2, W:W)</f>
        <v>0.8</v>
      </c>
      <c r="BE4" s="34">
        <v>2</v>
      </c>
      <c r="BF4" s="34">
        <v>1</v>
      </c>
      <c r="BG4" s="34">
        <v>0.5</v>
      </c>
      <c r="BH4" s="34">
        <v>0.5</v>
      </c>
      <c r="BI4" s="34">
        <v>0.9</v>
      </c>
      <c r="BJ4" s="34">
        <v>0.8</v>
      </c>
    </row>
    <row r="5" spans="1:62" hidden="1">
      <c r="A5" s="1">
        <v>1</v>
      </c>
      <c r="B5" s="2" t="s">
        <v>12</v>
      </c>
      <c r="C5" s="10">
        <v>3</v>
      </c>
      <c r="D5" s="2" t="s">
        <v>17</v>
      </c>
      <c r="E5" s="2">
        <v>0</v>
      </c>
      <c r="F5" s="2">
        <v>0</v>
      </c>
      <c r="G5" s="2">
        <v>1</v>
      </c>
      <c r="H5" s="2">
        <v>0</v>
      </c>
      <c r="I5" s="2">
        <v>0</v>
      </c>
      <c r="J5" s="9">
        <f t="shared" si="5"/>
        <v>-3</v>
      </c>
      <c r="K5" s="7">
        <f t="shared" ref="K5:K36" si="6">SUM(IF(E5=M5,1,0),IF(F5=N5,1,0),IF(G5=O5,1,0),IF(H5=P5,1,0),IF(I5=Q5,1,0),J5)/IF(OR(C5=1,C5=3,C5=5,C5=7,C5=9,C5=12,C5=14),2,IF(OR(C5=2,C5=4,C5=6,C5=8,C5=10,C5=11,C5=13,C5=15),5,4))</f>
        <v>0.5</v>
      </c>
      <c r="L5" s="10">
        <v>3</v>
      </c>
      <c r="M5" s="33">
        <v>1</v>
      </c>
      <c r="N5" s="33">
        <v>0</v>
      </c>
      <c r="O5" s="33">
        <v>1</v>
      </c>
      <c r="P5" s="33">
        <v>0</v>
      </c>
      <c r="Q5" s="33">
        <v>0</v>
      </c>
      <c r="R5" s="13"/>
      <c r="S5">
        <f t="shared" si="0"/>
        <v>0</v>
      </c>
      <c r="T5">
        <f t="shared" si="1"/>
        <v>1</v>
      </c>
      <c r="U5">
        <f t="shared" si="2"/>
        <v>1</v>
      </c>
      <c r="V5">
        <f t="shared" si="3"/>
        <v>1</v>
      </c>
      <c r="W5">
        <f t="shared" si="4"/>
        <v>1</v>
      </c>
      <c r="X5" s="9">
        <v>0.5</v>
      </c>
      <c r="AG5" s="17">
        <v>3</v>
      </c>
      <c r="AH5" s="29">
        <f>AVERAGE(K35:K50)</f>
        <v>0.63437500000000002</v>
      </c>
      <c r="AJ5" s="17">
        <v>5</v>
      </c>
      <c r="AK5" s="17">
        <f>AVERAGEIF(C:C, 5, K:K)</f>
        <v>0.65</v>
      </c>
      <c r="AM5" s="17">
        <v>6</v>
      </c>
      <c r="AN5" s="17">
        <f>AVERAGEIF(C:C, 6, K:K)</f>
        <v>0.72</v>
      </c>
      <c r="AV5" s="22">
        <v>3</v>
      </c>
      <c r="AW5" s="23">
        <f>AVERAGEIF(C:C, 2, S:S)</f>
        <v>0.6</v>
      </c>
      <c r="AX5" s="23">
        <f>AVERAGEIF(C:C, 3, T:T)</f>
        <v>1</v>
      </c>
      <c r="AY5" s="23">
        <f>AVERAGEIF(C:C, 3, U:U)</f>
        <v>0.6</v>
      </c>
      <c r="AZ5" s="23">
        <f>AVERAGEIF(C:C, 3, V:V)</f>
        <v>1</v>
      </c>
      <c r="BA5" s="23">
        <f>AVERAGEIF(C:C, 3, W:W)</f>
        <v>1</v>
      </c>
      <c r="BE5" s="34">
        <v>3</v>
      </c>
      <c r="BF5" s="34">
        <v>0.6</v>
      </c>
      <c r="BG5" s="34" t="s">
        <v>43</v>
      </c>
      <c r="BH5" s="34">
        <v>0.6</v>
      </c>
      <c r="BI5" s="34" t="s">
        <v>43</v>
      </c>
      <c r="BJ5" s="34" t="s">
        <v>43</v>
      </c>
    </row>
    <row r="6" spans="1:62" hidden="1">
      <c r="A6" s="1">
        <v>1</v>
      </c>
      <c r="B6" s="2" t="s">
        <v>12</v>
      </c>
      <c r="C6" s="10">
        <v>4</v>
      </c>
      <c r="D6" s="2" t="s">
        <v>18</v>
      </c>
      <c r="E6" s="2">
        <v>0</v>
      </c>
      <c r="F6" s="2">
        <v>0</v>
      </c>
      <c r="G6" s="2">
        <v>0</v>
      </c>
      <c r="H6" s="2">
        <v>0</v>
      </c>
      <c r="I6" s="2">
        <v>1</v>
      </c>
      <c r="J6" s="9">
        <f t="shared" si="5"/>
        <v>0</v>
      </c>
      <c r="K6" s="7">
        <f t="shared" si="6"/>
        <v>0.6</v>
      </c>
      <c r="L6" s="10">
        <v>4</v>
      </c>
      <c r="M6" s="33">
        <v>1</v>
      </c>
      <c r="N6" s="33">
        <v>0</v>
      </c>
      <c r="O6" s="33">
        <v>1</v>
      </c>
      <c r="P6" s="33">
        <v>0</v>
      </c>
      <c r="Q6" s="33">
        <v>1</v>
      </c>
      <c r="R6" s="13"/>
      <c r="S6">
        <f t="shared" si="0"/>
        <v>0</v>
      </c>
      <c r="T6">
        <f t="shared" si="1"/>
        <v>1</v>
      </c>
      <c r="U6">
        <f t="shared" si="2"/>
        <v>0</v>
      </c>
      <c r="V6">
        <f t="shared" si="3"/>
        <v>1</v>
      </c>
      <c r="W6">
        <f t="shared" si="4"/>
        <v>1</v>
      </c>
      <c r="X6" s="9">
        <v>0.5</v>
      </c>
      <c r="AG6" s="17">
        <v>4</v>
      </c>
      <c r="AH6" s="29">
        <f>AVERAGE(K51:K66)</f>
        <v>0.82499999999999996</v>
      </c>
      <c r="AJ6" s="17">
        <v>7</v>
      </c>
      <c r="AK6" s="17">
        <f>AVERAGEIF(C:C, 7, K:K)</f>
        <v>0.75</v>
      </c>
      <c r="AM6" s="17">
        <v>8</v>
      </c>
      <c r="AN6" s="17">
        <f>AVERAGEIF(C:C, 8, K:K)</f>
        <v>0.76</v>
      </c>
      <c r="AV6" s="17">
        <v>4</v>
      </c>
      <c r="AW6" s="6">
        <f>AVERAGEIF(C:C, 4, S:S)</f>
        <v>0.5</v>
      </c>
      <c r="AX6" s="6">
        <f>AVERAGEIF(C:C, 4, T:T)</f>
        <v>0.7</v>
      </c>
      <c r="AY6" s="6">
        <f>AVERAGEIF(C:C, 4, U:U)</f>
        <v>0.5</v>
      </c>
      <c r="AZ6" s="6">
        <f>AVERAGEIF(C:C, 4, V:V)</f>
        <v>0.9</v>
      </c>
      <c r="BA6" s="6">
        <f>AVERAGEIF(C:C, 4, W:W)</f>
        <v>0.4</v>
      </c>
      <c r="BE6" s="34">
        <v>4</v>
      </c>
      <c r="BF6" s="34">
        <v>0.5</v>
      </c>
      <c r="BG6" s="34">
        <v>0.7</v>
      </c>
      <c r="BH6" s="34">
        <v>0.5</v>
      </c>
      <c r="BI6" s="34">
        <v>0.9</v>
      </c>
      <c r="BJ6" s="34">
        <v>0.4</v>
      </c>
    </row>
    <row r="7" spans="1:62" hidden="1">
      <c r="A7" s="1">
        <v>1</v>
      </c>
      <c r="B7" s="2" t="s">
        <v>12</v>
      </c>
      <c r="C7" s="10">
        <v>5</v>
      </c>
      <c r="D7" s="2" t="s">
        <v>19</v>
      </c>
      <c r="E7" s="2">
        <v>0</v>
      </c>
      <c r="F7" s="2">
        <v>0</v>
      </c>
      <c r="G7" s="2">
        <v>1</v>
      </c>
      <c r="H7" s="2">
        <v>0</v>
      </c>
      <c r="I7" s="2">
        <v>0</v>
      </c>
      <c r="J7" s="9">
        <f t="shared" si="5"/>
        <v>-3</v>
      </c>
      <c r="K7" s="7">
        <f t="shared" si="6"/>
        <v>0.5</v>
      </c>
      <c r="L7" s="10">
        <v>5</v>
      </c>
      <c r="M7" s="33">
        <v>1</v>
      </c>
      <c r="N7" s="33">
        <v>0</v>
      </c>
      <c r="O7" s="33">
        <v>1</v>
      </c>
      <c r="P7" s="33">
        <v>0</v>
      </c>
      <c r="Q7" s="33">
        <v>0</v>
      </c>
      <c r="R7" s="13"/>
      <c r="S7">
        <f t="shared" si="0"/>
        <v>0</v>
      </c>
      <c r="T7">
        <f t="shared" si="1"/>
        <v>1</v>
      </c>
      <c r="U7">
        <f t="shared" si="2"/>
        <v>1</v>
      </c>
      <c r="V7">
        <f t="shared" si="3"/>
        <v>1</v>
      </c>
      <c r="W7">
        <f t="shared" si="4"/>
        <v>1</v>
      </c>
      <c r="X7" s="9">
        <v>0.5</v>
      </c>
      <c r="AG7" s="17">
        <v>5</v>
      </c>
      <c r="AH7" s="29">
        <f>AVERAGE(K67:K82)</f>
        <v>0.828125</v>
      </c>
      <c r="AJ7" s="17">
        <v>9</v>
      </c>
      <c r="AK7" s="17">
        <f>AVERAGEIF(C:C, 9, K:K)</f>
        <v>0.65</v>
      </c>
      <c r="AM7" s="17">
        <v>10</v>
      </c>
      <c r="AN7" s="17">
        <f>AVERAGEIF(C:C, 10, K:K)</f>
        <v>0.82</v>
      </c>
      <c r="AV7" s="22">
        <v>5</v>
      </c>
      <c r="AW7" s="23">
        <f>AVERAGEIF(C:C, 5, S:S)</f>
        <v>0.8</v>
      </c>
      <c r="AX7" s="23">
        <f>AVERAGEIF(C:C, 5, T:T)</f>
        <v>1</v>
      </c>
      <c r="AY7" s="23">
        <f>AVERAGEIF(C:C, 5, U:U)</f>
        <v>0.5</v>
      </c>
      <c r="AZ7" s="23">
        <f>AVERAGEIF(C:C, 5, V:V)</f>
        <v>1</v>
      </c>
      <c r="BA7" s="23">
        <f>AVERAGEIF(C:C, 5, W:W)</f>
        <v>1</v>
      </c>
      <c r="BE7" s="34">
        <v>5</v>
      </c>
      <c r="BF7" s="34">
        <v>0.8</v>
      </c>
      <c r="BG7" s="34" t="s">
        <v>43</v>
      </c>
      <c r="BH7" s="34">
        <v>0.5</v>
      </c>
      <c r="BI7" s="34" t="s">
        <v>43</v>
      </c>
      <c r="BJ7" s="34" t="s">
        <v>43</v>
      </c>
    </row>
    <row r="8" spans="1:62" hidden="1">
      <c r="A8" s="1">
        <v>1</v>
      </c>
      <c r="B8" s="2" t="s">
        <v>12</v>
      </c>
      <c r="C8" s="10">
        <v>6</v>
      </c>
      <c r="D8" s="2" t="s">
        <v>20</v>
      </c>
      <c r="E8" s="2">
        <v>0</v>
      </c>
      <c r="F8" s="2">
        <v>0</v>
      </c>
      <c r="G8" s="2">
        <v>0</v>
      </c>
      <c r="H8" s="2">
        <v>1</v>
      </c>
      <c r="I8" s="2">
        <v>0</v>
      </c>
      <c r="J8" s="9">
        <f t="shared" si="5"/>
        <v>0</v>
      </c>
      <c r="K8" s="7">
        <f t="shared" si="6"/>
        <v>0.4</v>
      </c>
      <c r="L8" s="10">
        <v>6</v>
      </c>
      <c r="M8" s="33">
        <v>1</v>
      </c>
      <c r="N8" s="33">
        <v>0</v>
      </c>
      <c r="O8" s="33">
        <v>1</v>
      </c>
      <c r="P8" s="33">
        <v>1</v>
      </c>
      <c r="Q8" s="33">
        <v>1</v>
      </c>
      <c r="R8" s="13"/>
      <c r="S8">
        <f t="shared" si="0"/>
        <v>0</v>
      </c>
      <c r="T8">
        <f t="shared" si="1"/>
        <v>1</v>
      </c>
      <c r="U8">
        <f t="shared" si="2"/>
        <v>0</v>
      </c>
      <c r="V8">
        <f t="shared" si="3"/>
        <v>1</v>
      </c>
      <c r="W8">
        <f t="shared" si="4"/>
        <v>0</v>
      </c>
      <c r="X8" s="9">
        <v>0.5</v>
      </c>
      <c r="AG8" s="17">
        <v>6</v>
      </c>
      <c r="AH8" s="29">
        <f>AVERAGE(K83:K98)</f>
        <v>0.79374999999999996</v>
      </c>
      <c r="AJ8" s="17">
        <v>12</v>
      </c>
      <c r="AK8" s="17">
        <f>AVERAGEIF(C:C, 12, K:K)</f>
        <v>0.75</v>
      </c>
      <c r="AM8" s="17">
        <v>11</v>
      </c>
      <c r="AN8" s="17">
        <f>AVERAGEIF(C:C, 11, K:K)</f>
        <v>0.79999999999999993</v>
      </c>
      <c r="AV8" s="17">
        <v>6</v>
      </c>
      <c r="AW8" s="6">
        <f>AVERAGEIF(C:C, 6, S:S)</f>
        <v>0.5</v>
      </c>
      <c r="AX8" s="6">
        <f>AVERAGEIF(C:C, 6, T:T)</f>
        <v>0.9</v>
      </c>
      <c r="AY8" s="6">
        <f>AVERAGEIF(C:C, 6, U:U)</f>
        <v>0.5</v>
      </c>
      <c r="AZ8" s="6">
        <f>AVERAGEIF(C:C, 6, V:V)</f>
        <v>0.9</v>
      </c>
      <c r="BA8" s="6">
        <f>AVERAGEIF(C:C, 6, W:W)</f>
        <v>0.8</v>
      </c>
      <c r="BE8" s="34">
        <v>6</v>
      </c>
      <c r="BF8" s="34">
        <v>0.5</v>
      </c>
      <c r="BG8" s="34">
        <v>0.9</v>
      </c>
      <c r="BH8" s="34">
        <v>0.5</v>
      </c>
      <c r="BI8" s="34">
        <v>0.9</v>
      </c>
      <c r="BJ8" s="34">
        <v>0.8</v>
      </c>
    </row>
    <row r="9" spans="1:62" hidden="1">
      <c r="A9" s="1">
        <v>1</v>
      </c>
      <c r="B9" s="2" t="s">
        <v>12</v>
      </c>
      <c r="C9" s="10">
        <v>7</v>
      </c>
      <c r="D9" s="2" t="s">
        <v>21</v>
      </c>
      <c r="E9" s="2">
        <v>0</v>
      </c>
      <c r="F9" s="2">
        <v>0</v>
      </c>
      <c r="G9" s="2">
        <v>1</v>
      </c>
      <c r="H9" s="2">
        <v>0</v>
      </c>
      <c r="I9" s="2">
        <v>0</v>
      </c>
      <c r="J9" s="9">
        <f t="shared" si="5"/>
        <v>-3</v>
      </c>
      <c r="K9" s="7">
        <f t="shared" si="6"/>
        <v>0.5</v>
      </c>
      <c r="L9" s="10">
        <v>7</v>
      </c>
      <c r="M9" s="33">
        <v>1</v>
      </c>
      <c r="N9" s="33">
        <v>0</v>
      </c>
      <c r="O9" s="33">
        <v>1</v>
      </c>
      <c r="P9" s="33">
        <v>0</v>
      </c>
      <c r="Q9" s="33">
        <v>0</v>
      </c>
      <c r="R9" s="13"/>
      <c r="S9">
        <f t="shared" si="0"/>
        <v>0</v>
      </c>
      <c r="T9">
        <f t="shared" si="1"/>
        <v>1</v>
      </c>
      <c r="U9">
        <f t="shared" si="2"/>
        <v>1</v>
      </c>
      <c r="V9">
        <f t="shared" si="3"/>
        <v>1</v>
      </c>
      <c r="W9">
        <f t="shared" si="4"/>
        <v>1</v>
      </c>
      <c r="X9" s="9">
        <v>0.5</v>
      </c>
      <c r="AG9" s="17">
        <v>7</v>
      </c>
      <c r="AH9" s="29">
        <f>AVERAGE(K99:K114)</f>
        <v>0.72812500000000002</v>
      </c>
      <c r="AM9" s="17">
        <v>13</v>
      </c>
      <c r="AN9" s="17">
        <f>AVERAGEIF(C:C, 13, K:K)</f>
        <v>0.7</v>
      </c>
      <c r="AV9" s="22">
        <v>7</v>
      </c>
      <c r="AW9" s="23">
        <f>AVERAGEIF(C:C, 7, S:S)</f>
        <v>0.9</v>
      </c>
      <c r="AX9" s="23">
        <f>AVERAGEIF(C:C, 7, T:T)</f>
        <v>1</v>
      </c>
      <c r="AY9" s="23">
        <f>AVERAGEIF(C:C, 7, U:U)</f>
        <v>0.6</v>
      </c>
      <c r="AZ9" s="23">
        <f>AVERAGEIF(C:C, 7, V:V)</f>
        <v>1</v>
      </c>
      <c r="BA9" s="23">
        <f>AVERAGEIF(C:C, 7, W:W)</f>
        <v>1</v>
      </c>
      <c r="BE9" s="34">
        <v>7</v>
      </c>
      <c r="BF9" s="34">
        <v>0.9</v>
      </c>
      <c r="BG9" s="34" t="s">
        <v>43</v>
      </c>
      <c r="BH9" s="34">
        <v>0.6</v>
      </c>
      <c r="BI9" s="34" t="s">
        <v>43</v>
      </c>
      <c r="BJ9" s="34" t="s">
        <v>43</v>
      </c>
    </row>
    <row r="10" spans="1:62" hidden="1">
      <c r="A10" s="1">
        <v>1</v>
      </c>
      <c r="B10" s="2" t="s">
        <v>12</v>
      </c>
      <c r="C10" s="10">
        <v>8</v>
      </c>
      <c r="D10" s="2" t="s">
        <v>22</v>
      </c>
      <c r="E10" s="2">
        <v>0</v>
      </c>
      <c r="F10" s="2">
        <v>0</v>
      </c>
      <c r="G10" s="2">
        <v>0</v>
      </c>
      <c r="H10" s="2">
        <v>1</v>
      </c>
      <c r="I10" s="2">
        <v>0</v>
      </c>
      <c r="J10" s="9">
        <f t="shared" si="5"/>
        <v>0</v>
      </c>
      <c r="K10" s="7">
        <f t="shared" si="6"/>
        <v>0.6</v>
      </c>
      <c r="L10" s="10">
        <v>8</v>
      </c>
      <c r="M10" s="33">
        <v>0</v>
      </c>
      <c r="N10" s="33">
        <v>0</v>
      </c>
      <c r="O10" s="33">
        <v>1</v>
      </c>
      <c r="P10" s="33">
        <v>1</v>
      </c>
      <c r="Q10" s="33">
        <v>1</v>
      </c>
      <c r="R10" s="13"/>
      <c r="S10">
        <f t="shared" si="0"/>
        <v>1</v>
      </c>
      <c r="T10">
        <f t="shared" si="1"/>
        <v>1</v>
      </c>
      <c r="U10">
        <f t="shared" si="2"/>
        <v>0</v>
      </c>
      <c r="V10">
        <f t="shared" si="3"/>
        <v>1</v>
      </c>
      <c r="W10">
        <f t="shared" si="4"/>
        <v>0</v>
      </c>
      <c r="X10" s="9">
        <v>0.5</v>
      </c>
      <c r="AG10" s="17">
        <v>8</v>
      </c>
      <c r="AH10" s="29">
        <f>AVERAGE(K115:K130)</f>
        <v>0.65937500000000004</v>
      </c>
      <c r="AJ10" s="17">
        <v>14</v>
      </c>
      <c r="AK10" s="17">
        <f>AVERAGEIF(C:C, 14, K:K)</f>
        <v>0.7</v>
      </c>
      <c r="AV10" s="17">
        <v>8</v>
      </c>
      <c r="AW10" s="6">
        <f>AVERAGEIF(C:C, 8, S:S)</f>
        <v>0.6</v>
      </c>
      <c r="AX10" s="6">
        <f>AVERAGEIF(C:C, 8, T:T)</f>
        <v>0.9</v>
      </c>
      <c r="AY10" s="6">
        <f>AVERAGEIF(C:C, 8, U:U)</f>
        <v>0.7</v>
      </c>
      <c r="AZ10" s="6">
        <f>AVERAGEIF(C:C, 8, V:V)</f>
        <v>0.9</v>
      </c>
      <c r="BA10" s="6">
        <f>AVERAGEIF(C:C, 8, W:W)</f>
        <v>0.7</v>
      </c>
      <c r="BE10" s="34">
        <v>8</v>
      </c>
      <c r="BF10" s="34">
        <v>0.6</v>
      </c>
      <c r="BG10" s="34">
        <v>0.9</v>
      </c>
      <c r="BH10" s="34">
        <v>0.7</v>
      </c>
      <c r="BI10" s="34">
        <v>0.9</v>
      </c>
      <c r="BJ10" s="34">
        <v>0.7</v>
      </c>
    </row>
    <row r="11" spans="1:62" hidden="1">
      <c r="A11" s="1">
        <v>1</v>
      </c>
      <c r="B11" s="2" t="s">
        <v>12</v>
      </c>
      <c r="C11" s="10">
        <v>9</v>
      </c>
      <c r="D11" s="2" t="s">
        <v>23</v>
      </c>
      <c r="E11" s="2">
        <v>0</v>
      </c>
      <c r="F11" s="2">
        <v>0</v>
      </c>
      <c r="G11" s="2">
        <v>1</v>
      </c>
      <c r="H11" s="2">
        <v>0</v>
      </c>
      <c r="I11" s="2">
        <v>0</v>
      </c>
      <c r="J11" s="9">
        <f t="shared" si="5"/>
        <v>-3</v>
      </c>
      <c r="K11" s="7">
        <f t="shared" si="6"/>
        <v>0.5</v>
      </c>
      <c r="L11" s="10">
        <v>9</v>
      </c>
      <c r="M11" s="33">
        <v>1</v>
      </c>
      <c r="N11" s="33">
        <v>0</v>
      </c>
      <c r="O11" s="33">
        <v>1</v>
      </c>
      <c r="P11" s="33">
        <v>0</v>
      </c>
      <c r="Q11" s="33">
        <v>0</v>
      </c>
      <c r="R11" s="13"/>
      <c r="S11">
        <f t="shared" si="0"/>
        <v>0</v>
      </c>
      <c r="T11">
        <f t="shared" si="1"/>
        <v>1</v>
      </c>
      <c r="U11">
        <f t="shared" si="2"/>
        <v>1</v>
      </c>
      <c r="V11">
        <f t="shared" si="3"/>
        <v>1</v>
      </c>
      <c r="W11">
        <f t="shared" si="4"/>
        <v>1</v>
      </c>
      <c r="X11" s="9">
        <v>0.5</v>
      </c>
      <c r="AG11" s="17">
        <v>9</v>
      </c>
      <c r="AH11" s="29">
        <f>AVERAGE(K131:K146)</f>
        <v>0.84687500000000004</v>
      </c>
      <c r="AJ11" s="25" t="s">
        <v>44</v>
      </c>
      <c r="AK11" s="25" t="s">
        <v>40</v>
      </c>
      <c r="AM11" s="17">
        <v>15</v>
      </c>
      <c r="AN11" s="17">
        <f>AVERAGEIF(C:C, 15, K:K)</f>
        <v>0.61999999999999988</v>
      </c>
      <c r="AV11" s="22">
        <v>9</v>
      </c>
      <c r="AW11" s="23">
        <f>AVERAGEIF(C:C, 9, S:S)</f>
        <v>0.9</v>
      </c>
      <c r="AX11" s="23">
        <f>AVERAGEIF(C:C, 9, T:T)</f>
        <v>1</v>
      </c>
      <c r="AY11" s="23">
        <f>AVERAGEIF(C:C, 9, U:U)</f>
        <v>0.4</v>
      </c>
      <c r="AZ11" s="23">
        <f>AVERAGEIF(C:C, 9, V:V)</f>
        <v>1</v>
      </c>
      <c r="BA11" s="23">
        <f>AVERAGEIF(C:C, 9, W:W)</f>
        <v>1</v>
      </c>
      <c r="BE11" s="34">
        <v>9</v>
      </c>
      <c r="BF11" s="34">
        <v>0.9</v>
      </c>
      <c r="BG11" s="34" t="s">
        <v>43</v>
      </c>
      <c r="BH11" s="34">
        <v>0.4</v>
      </c>
      <c r="BI11" s="34" t="s">
        <v>43</v>
      </c>
      <c r="BJ11" s="34" t="s">
        <v>43</v>
      </c>
    </row>
    <row r="12" spans="1:62" hidden="1">
      <c r="A12" s="1">
        <v>1</v>
      </c>
      <c r="B12" s="2" t="s">
        <v>12</v>
      </c>
      <c r="C12" s="10">
        <v>10</v>
      </c>
      <c r="D12" s="2" t="s">
        <v>24</v>
      </c>
      <c r="E12" s="2">
        <v>0</v>
      </c>
      <c r="F12" s="2">
        <v>0</v>
      </c>
      <c r="G12" s="2">
        <v>0</v>
      </c>
      <c r="H12" s="2">
        <v>1</v>
      </c>
      <c r="I12" s="2">
        <v>0</v>
      </c>
      <c r="J12" s="9">
        <f t="shared" si="5"/>
        <v>0</v>
      </c>
      <c r="K12" s="7">
        <f t="shared" si="6"/>
        <v>0.6</v>
      </c>
      <c r="L12" s="10">
        <v>10</v>
      </c>
      <c r="M12" s="33">
        <v>0</v>
      </c>
      <c r="N12" s="33">
        <v>0</v>
      </c>
      <c r="O12" s="33">
        <v>1</v>
      </c>
      <c r="P12" s="33">
        <v>1</v>
      </c>
      <c r="Q12" s="33">
        <v>1</v>
      </c>
      <c r="R12" s="13"/>
      <c r="S12">
        <f t="shared" si="0"/>
        <v>1</v>
      </c>
      <c r="T12">
        <f t="shared" si="1"/>
        <v>1</v>
      </c>
      <c r="U12">
        <f t="shared" si="2"/>
        <v>0</v>
      </c>
      <c r="V12">
        <f t="shared" si="3"/>
        <v>1</v>
      </c>
      <c r="W12">
        <f t="shared" si="4"/>
        <v>0</v>
      </c>
      <c r="X12" s="9">
        <v>0.5</v>
      </c>
      <c r="AG12" s="17">
        <v>10</v>
      </c>
      <c r="AH12" s="29">
        <f>AVERAGE(K147:K162)</f>
        <v>0.69687500000000002</v>
      </c>
      <c r="AV12" s="17">
        <v>10</v>
      </c>
      <c r="AW12" s="6">
        <f>AVERAGEIF(C:C, 10, S:S)</f>
        <v>0.8</v>
      </c>
      <c r="AX12" s="6">
        <f>AVERAGEIF(C:C, 10, T:T)</f>
        <v>0.8</v>
      </c>
      <c r="AY12" s="6">
        <f>AVERAGEIF(C:C, 10, U:U)</f>
        <v>0.7</v>
      </c>
      <c r="AZ12" s="6">
        <f>AVERAGEIF(C:C, 10, V:V)</f>
        <v>0.9</v>
      </c>
      <c r="BA12" s="6">
        <f>AVERAGEIF(C:C, 10, W:W)</f>
        <v>0.9</v>
      </c>
      <c r="BE12" s="34">
        <v>10</v>
      </c>
      <c r="BF12" s="34">
        <v>0.8</v>
      </c>
      <c r="BG12" s="34">
        <v>0.8</v>
      </c>
      <c r="BH12" s="34">
        <v>0.7</v>
      </c>
      <c r="BI12" s="34">
        <v>0.9</v>
      </c>
      <c r="BJ12" s="34">
        <v>0.9</v>
      </c>
    </row>
    <row r="13" spans="1:62" hidden="1">
      <c r="A13" s="1">
        <v>1</v>
      </c>
      <c r="B13" s="2" t="s">
        <v>12</v>
      </c>
      <c r="C13" s="10">
        <v>11</v>
      </c>
      <c r="D13" s="2" t="s">
        <v>25</v>
      </c>
      <c r="E13" s="2">
        <v>0</v>
      </c>
      <c r="F13" s="2">
        <v>0</v>
      </c>
      <c r="G13" s="2">
        <v>1</v>
      </c>
      <c r="H13" s="2">
        <v>1</v>
      </c>
      <c r="I13" s="2">
        <v>0</v>
      </c>
      <c r="J13" s="9">
        <f t="shared" si="5"/>
        <v>0</v>
      </c>
      <c r="K13" s="7">
        <f t="shared" si="6"/>
        <v>0.8</v>
      </c>
      <c r="L13" s="10">
        <v>11</v>
      </c>
      <c r="M13" s="13">
        <v>0</v>
      </c>
      <c r="N13" s="13">
        <v>1</v>
      </c>
      <c r="O13" s="13">
        <v>1</v>
      </c>
      <c r="P13" s="13">
        <v>1</v>
      </c>
      <c r="Q13" s="13">
        <v>0</v>
      </c>
      <c r="R13" s="13"/>
      <c r="S13">
        <f t="shared" si="0"/>
        <v>1</v>
      </c>
      <c r="T13">
        <f t="shared" si="1"/>
        <v>0</v>
      </c>
      <c r="U13">
        <f t="shared" si="2"/>
        <v>1</v>
      </c>
      <c r="V13">
        <f t="shared" si="3"/>
        <v>1</v>
      </c>
      <c r="W13">
        <f t="shared" si="4"/>
        <v>1</v>
      </c>
      <c r="X13" s="9">
        <v>0.5</v>
      </c>
      <c r="AG13" s="25" t="s">
        <v>45</v>
      </c>
      <c r="AH13" s="26">
        <f>AVERAGE(K3:K162)</f>
        <v>0.71437499999999943</v>
      </c>
      <c r="AI13">
        <f>AVERAGE(AH3:AH12)</f>
        <v>0.71437500000000009</v>
      </c>
      <c r="AJ13" s="17">
        <v>16</v>
      </c>
      <c r="AK13" s="17">
        <f>AVERAGEIF(C:C, 16, K:K)</f>
        <v>0.6</v>
      </c>
      <c r="AV13" s="17">
        <v>11</v>
      </c>
      <c r="AW13" s="6">
        <f>AVERAGEIF(C:C, 11, S:S)</f>
        <v>0.7</v>
      </c>
      <c r="AX13" s="6">
        <f>AVERAGEIF(C:C, 11, T:T)</f>
        <v>0.9</v>
      </c>
      <c r="AY13" s="6">
        <f>AVERAGEIF(C:C, 11, U:U)</f>
        <v>0.6</v>
      </c>
      <c r="AZ13" s="6">
        <f>AVERAGEIF(C:C, 11, V:V)</f>
        <v>0.9</v>
      </c>
      <c r="BA13" s="6">
        <f>AVERAGEIF(C:C, 11, W:W)</f>
        <v>0.9</v>
      </c>
      <c r="BE13" s="34">
        <v>11</v>
      </c>
      <c r="BF13" s="34">
        <v>0.7</v>
      </c>
      <c r="BG13" s="34">
        <v>0.9</v>
      </c>
      <c r="BH13" s="34">
        <v>0.6</v>
      </c>
      <c r="BI13" s="34">
        <v>0.9</v>
      </c>
      <c r="BJ13" s="34">
        <v>0.9</v>
      </c>
    </row>
    <row r="14" spans="1:62" hidden="1">
      <c r="A14" s="1">
        <v>1</v>
      </c>
      <c r="B14" s="2" t="s">
        <v>12</v>
      </c>
      <c r="C14" s="10">
        <v>12</v>
      </c>
      <c r="D14" s="2" t="s">
        <v>26</v>
      </c>
      <c r="E14" s="2">
        <v>0</v>
      </c>
      <c r="F14" s="2">
        <v>0</v>
      </c>
      <c r="G14" s="2">
        <v>1</v>
      </c>
      <c r="H14" s="2">
        <v>0</v>
      </c>
      <c r="I14" s="2">
        <v>0</v>
      </c>
      <c r="J14" s="9">
        <f t="shared" si="5"/>
        <v>-3</v>
      </c>
      <c r="K14" s="7">
        <f t="shared" si="6"/>
        <v>0.5</v>
      </c>
      <c r="L14" s="10">
        <v>12</v>
      </c>
      <c r="M14" s="13">
        <v>1</v>
      </c>
      <c r="N14" s="13">
        <v>0</v>
      </c>
      <c r="O14" s="13">
        <v>1</v>
      </c>
      <c r="P14" s="13">
        <v>0</v>
      </c>
      <c r="Q14" s="13">
        <v>0</v>
      </c>
      <c r="R14" s="13"/>
      <c r="S14">
        <f t="shared" si="0"/>
        <v>0</v>
      </c>
      <c r="T14">
        <f t="shared" si="1"/>
        <v>1</v>
      </c>
      <c r="U14">
        <f t="shared" si="2"/>
        <v>1</v>
      </c>
      <c r="V14">
        <f t="shared" si="3"/>
        <v>1</v>
      </c>
      <c r="W14">
        <f t="shared" si="4"/>
        <v>1</v>
      </c>
      <c r="X14" s="9">
        <v>0.5</v>
      </c>
      <c r="AG14" s="25" t="s">
        <v>46</v>
      </c>
      <c r="AH14" s="27">
        <f>STDEVP(K3:K162)</f>
        <v>0.22585860482833231</v>
      </c>
      <c r="AI14">
        <f>STDEV(AH3:AH12)</f>
        <v>0.10717732580479149</v>
      </c>
      <c r="AV14" s="22">
        <v>12</v>
      </c>
      <c r="AW14" s="23">
        <f>AVERAGEIF(C:C, 12, S:S)</f>
        <v>0.9</v>
      </c>
      <c r="AX14" s="23">
        <f>AVERAGEIF(C:C, 12, T:T)</f>
        <v>1</v>
      </c>
      <c r="AY14" s="23">
        <f>AVERAGEIF(C:C, 12, U:U)</f>
        <v>0.6</v>
      </c>
      <c r="AZ14" s="23">
        <f>AVERAGEIF(C:C, 12, V:V)</f>
        <v>1</v>
      </c>
      <c r="BA14" s="23">
        <f>AVERAGEIF(C:C, 12, W:W)</f>
        <v>1</v>
      </c>
      <c r="BE14" s="34">
        <v>12</v>
      </c>
      <c r="BF14" s="34">
        <v>0.9</v>
      </c>
      <c r="BG14" s="34" t="s">
        <v>43</v>
      </c>
      <c r="BH14" s="34">
        <v>0.6</v>
      </c>
      <c r="BI14" s="34" t="s">
        <v>43</v>
      </c>
      <c r="BJ14" s="34" t="s">
        <v>43</v>
      </c>
    </row>
    <row r="15" spans="1:62" hidden="1">
      <c r="A15" s="1">
        <v>1</v>
      </c>
      <c r="B15" s="2" t="s">
        <v>12</v>
      </c>
      <c r="C15" s="10">
        <v>13</v>
      </c>
      <c r="D15" s="2" t="s">
        <v>27</v>
      </c>
      <c r="E15" s="2">
        <v>0</v>
      </c>
      <c r="F15" s="2">
        <v>0</v>
      </c>
      <c r="G15" s="2">
        <v>0</v>
      </c>
      <c r="H15" s="2">
        <v>1</v>
      </c>
      <c r="I15" s="2">
        <v>1</v>
      </c>
      <c r="J15" s="9">
        <f t="shared" si="5"/>
        <v>0</v>
      </c>
      <c r="K15" s="7">
        <f t="shared" si="6"/>
        <v>0.4</v>
      </c>
      <c r="L15" s="10">
        <v>13</v>
      </c>
      <c r="M15" s="13">
        <v>1</v>
      </c>
      <c r="N15" s="13">
        <v>0</v>
      </c>
      <c r="O15" s="13">
        <v>1</v>
      </c>
      <c r="P15" s="13">
        <v>1</v>
      </c>
      <c r="Q15" s="13">
        <v>0</v>
      </c>
      <c r="R15" s="13"/>
      <c r="S15">
        <f t="shared" si="0"/>
        <v>0</v>
      </c>
      <c r="T15">
        <f t="shared" si="1"/>
        <v>1</v>
      </c>
      <c r="U15">
        <f t="shared" si="2"/>
        <v>0</v>
      </c>
      <c r="V15">
        <f t="shared" si="3"/>
        <v>1</v>
      </c>
      <c r="W15">
        <f t="shared" si="4"/>
        <v>0</v>
      </c>
      <c r="X15" s="9">
        <v>0.5</v>
      </c>
      <c r="AV15" s="17">
        <v>13</v>
      </c>
      <c r="AW15" s="6">
        <f>AVERAGEIF(C:C, 13, S:S)</f>
        <v>0.8</v>
      </c>
      <c r="AX15" s="6">
        <f>AVERAGEIF(C:C, 13, T:T)</f>
        <v>0.7</v>
      </c>
      <c r="AY15" s="6">
        <f>AVERAGEIF(C:C, 13, U:U)</f>
        <v>0.7</v>
      </c>
      <c r="AZ15" s="6">
        <f>AVERAGEIF(C:C, 13, V:V)</f>
        <v>0.9</v>
      </c>
      <c r="BA15" s="6">
        <f>AVERAGEIF(C:C, 13, W:W)</f>
        <v>0.4</v>
      </c>
      <c r="BE15" s="34">
        <v>13</v>
      </c>
      <c r="BF15" s="34">
        <v>0.8</v>
      </c>
      <c r="BG15" s="34">
        <v>0.7</v>
      </c>
      <c r="BH15" s="34">
        <v>0.7</v>
      </c>
      <c r="BI15" s="34">
        <v>0.9</v>
      </c>
      <c r="BJ15" s="34">
        <v>0.4</v>
      </c>
    </row>
    <row r="16" spans="1:62" hidden="1">
      <c r="A16" s="1">
        <v>1</v>
      </c>
      <c r="B16" s="2" t="s">
        <v>12</v>
      </c>
      <c r="C16" s="10">
        <v>14</v>
      </c>
      <c r="D16" s="2" t="s">
        <v>28</v>
      </c>
      <c r="E16" s="2">
        <v>0</v>
      </c>
      <c r="F16" s="2">
        <v>0</v>
      </c>
      <c r="G16" s="2">
        <v>1</v>
      </c>
      <c r="H16" s="2">
        <v>0</v>
      </c>
      <c r="I16" s="2">
        <v>0</v>
      </c>
      <c r="J16" s="9">
        <f t="shared" si="5"/>
        <v>-3</v>
      </c>
      <c r="K16" s="7">
        <f t="shared" si="6"/>
        <v>0.5</v>
      </c>
      <c r="L16" s="10">
        <v>14</v>
      </c>
      <c r="M16" s="13">
        <v>1</v>
      </c>
      <c r="N16" s="13">
        <v>0</v>
      </c>
      <c r="O16" s="13">
        <v>1</v>
      </c>
      <c r="P16" s="13">
        <v>0</v>
      </c>
      <c r="Q16" s="13">
        <v>0</v>
      </c>
      <c r="R16" s="13"/>
      <c r="S16">
        <f t="shared" si="0"/>
        <v>0</v>
      </c>
      <c r="T16">
        <f t="shared" si="1"/>
        <v>1</v>
      </c>
      <c r="U16">
        <f t="shared" si="2"/>
        <v>1</v>
      </c>
      <c r="V16">
        <f t="shared" si="3"/>
        <v>1</v>
      </c>
      <c r="W16">
        <f t="shared" si="4"/>
        <v>1</v>
      </c>
      <c r="X16" s="9">
        <v>0.5</v>
      </c>
      <c r="AV16" s="17">
        <v>14</v>
      </c>
      <c r="AW16" s="6">
        <f>AVERAGEIF(C:C, 14, S:S)</f>
        <v>0.9</v>
      </c>
      <c r="AX16" s="6">
        <f>AVERAGEIF(C:C, 14, T:T)</f>
        <v>1</v>
      </c>
      <c r="AY16" s="6">
        <f>AVERAGEIF(C:C, 14, U:U)</f>
        <v>0.5</v>
      </c>
      <c r="AZ16" s="6">
        <f>AVERAGEIF(C:C, 14, V:V)</f>
        <v>1</v>
      </c>
      <c r="BA16" s="6">
        <f>AVERAGEIF(C:C, 14, W:W)</f>
        <v>1</v>
      </c>
      <c r="BE16" s="34">
        <v>14</v>
      </c>
      <c r="BF16" s="34">
        <v>0.9</v>
      </c>
      <c r="BG16" s="34" t="s">
        <v>43</v>
      </c>
      <c r="BH16" s="34">
        <v>0.5</v>
      </c>
      <c r="BI16" s="34" t="s">
        <v>43</v>
      </c>
      <c r="BJ16" s="34" t="s">
        <v>43</v>
      </c>
    </row>
    <row r="17" spans="1:62" hidden="1">
      <c r="A17" s="1">
        <v>1</v>
      </c>
      <c r="B17" s="2" t="s">
        <v>12</v>
      </c>
      <c r="C17" s="10">
        <v>15</v>
      </c>
      <c r="D17" s="2" t="s">
        <v>29</v>
      </c>
      <c r="E17" s="2">
        <v>0</v>
      </c>
      <c r="F17" s="2">
        <v>0</v>
      </c>
      <c r="G17" s="2">
        <v>0</v>
      </c>
      <c r="H17" s="2">
        <v>0</v>
      </c>
      <c r="I17" s="2">
        <v>1</v>
      </c>
      <c r="J17" s="9">
        <f t="shared" si="5"/>
        <v>0</v>
      </c>
      <c r="K17" s="7">
        <f t="shared" si="6"/>
        <v>0.4</v>
      </c>
      <c r="L17" s="10">
        <v>15</v>
      </c>
      <c r="M17" s="13">
        <v>1</v>
      </c>
      <c r="N17" s="13">
        <v>0</v>
      </c>
      <c r="O17" s="13">
        <v>1</v>
      </c>
      <c r="P17" s="13">
        <v>1</v>
      </c>
      <c r="Q17" s="13">
        <v>1</v>
      </c>
      <c r="R17" s="13"/>
      <c r="S17">
        <f t="shared" si="0"/>
        <v>0</v>
      </c>
      <c r="T17">
        <f t="shared" si="1"/>
        <v>1</v>
      </c>
      <c r="U17">
        <f t="shared" si="2"/>
        <v>0</v>
      </c>
      <c r="V17">
        <f t="shared" si="3"/>
        <v>0</v>
      </c>
      <c r="W17">
        <f t="shared" si="4"/>
        <v>1</v>
      </c>
      <c r="X17" s="9">
        <v>0.5</v>
      </c>
      <c r="AV17" s="17">
        <v>15</v>
      </c>
      <c r="AW17" s="6">
        <f>AVERAGEIF(C:C, 15, S:S)</f>
        <v>0.5</v>
      </c>
      <c r="AX17" s="6">
        <f>AVERAGEIF(C:C, 15, T:T)</f>
        <v>0.8</v>
      </c>
      <c r="AY17" s="6">
        <f>AVERAGEIF(C:C, 15, U:U)</f>
        <v>0.5</v>
      </c>
      <c r="AZ17" s="6">
        <f>AVERAGEIF(C:C, 15, V:V)</f>
        <v>0.8</v>
      </c>
      <c r="BA17" s="6">
        <f>AVERAGEIF(C:C, 15, W:W)</f>
        <v>0.5</v>
      </c>
      <c r="BE17" s="34">
        <v>15</v>
      </c>
      <c r="BF17" s="34">
        <v>0.5</v>
      </c>
      <c r="BG17" s="34">
        <v>0.8</v>
      </c>
      <c r="BH17" s="34">
        <v>0.5</v>
      </c>
      <c r="BI17" s="34">
        <v>0.8</v>
      </c>
      <c r="BJ17" s="34">
        <v>0.5</v>
      </c>
    </row>
    <row r="18" spans="1:62" hidden="1">
      <c r="A18" s="1">
        <v>1</v>
      </c>
      <c r="B18" s="2" t="s">
        <v>30</v>
      </c>
      <c r="C18" s="10">
        <v>16</v>
      </c>
      <c r="D18" s="2" t="s">
        <v>31</v>
      </c>
      <c r="E18" s="2">
        <v>0</v>
      </c>
      <c r="F18" s="2">
        <v>0</v>
      </c>
      <c r="G18" s="2">
        <v>0</v>
      </c>
      <c r="H18" s="2">
        <v>0</v>
      </c>
      <c r="I18" s="2">
        <v>1</v>
      </c>
      <c r="J18" s="9">
        <f t="shared" si="5"/>
        <v>-1</v>
      </c>
      <c r="K18" s="7">
        <f t="shared" si="6"/>
        <v>0.5</v>
      </c>
      <c r="L18" s="10">
        <v>16</v>
      </c>
      <c r="M18" s="13">
        <v>1</v>
      </c>
      <c r="N18" s="13">
        <v>0</v>
      </c>
      <c r="O18" s="13">
        <v>1</v>
      </c>
      <c r="P18" s="13">
        <v>0</v>
      </c>
      <c r="Q18" s="13">
        <v>1</v>
      </c>
      <c r="R18" s="13"/>
      <c r="S18">
        <f t="shared" si="0"/>
        <v>0</v>
      </c>
      <c r="T18">
        <f t="shared" si="1"/>
        <v>1</v>
      </c>
      <c r="U18">
        <f t="shared" si="2"/>
        <v>0</v>
      </c>
      <c r="V18">
        <f t="shared" si="3"/>
        <v>1</v>
      </c>
      <c r="W18">
        <f t="shared" si="4"/>
        <v>1</v>
      </c>
      <c r="X18" s="9">
        <v>0.5</v>
      </c>
      <c r="AV18" s="17">
        <v>16</v>
      </c>
      <c r="AW18" s="20">
        <f>AVERAGEIF(C:C, 16, S:S)</f>
        <v>0.6</v>
      </c>
      <c r="AX18" s="21">
        <f>AVERAGEIF(C:C, 16, T:T)</f>
        <v>0.6</v>
      </c>
      <c r="AY18" s="21">
        <f>AVERAGEIF(C:C, 16, U:U)</f>
        <v>0.4</v>
      </c>
      <c r="AZ18" s="21">
        <f>AVERAGEIF(C:C, 16, V:V)</f>
        <v>1</v>
      </c>
      <c r="BA18" s="21">
        <f>AVERAGEIF(C:C, 16, W:W)</f>
        <v>0.8</v>
      </c>
      <c r="BE18" s="34">
        <v>16</v>
      </c>
      <c r="BF18" s="34">
        <v>0.6</v>
      </c>
      <c r="BG18" s="34">
        <v>0.6</v>
      </c>
      <c r="BH18" s="34">
        <v>0.4</v>
      </c>
      <c r="BI18" s="34" t="s">
        <v>43</v>
      </c>
      <c r="BJ18" s="34">
        <v>0.8</v>
      </c>
    </row>
    <row r="19" spans="1:62">
      <c r="A19" s="1">
        <v>2</v>
      </c>
      <c r="B19" s="2" t="s">
        <v>12</v>
      </c>
      <c r="C19" s="10">
        <v>1</v>
      </c>
      <c r="D19" s="2" t="s">
        <v>32</v>
      </c>
      <c r="E19" s="2">
        <v>1</v>
      </c>
      <c r="F19" s="2">
        <v>0</v>
      </c>
      <c r="G19" s="2">
        <v>0</v>
      </c>
      <c r="H19" s="2">
        <v>0</v>
      </c>
      <c r="I19" s="2">
        <v>0</v>
      </c>
      <c r="J19" s="9">
        <f t="shared" si="5"/>
        <v>-3</v>
      </c>
      <c r="K19" s="7">
        <f t="shared" si="6"/>
        <v>0.5</v>
      </c>
      <c r="L19" s="10">
        <v>1</v>
      </c>
      <c r="M19" s="13">
        <v>1</v>
      </c>
      <c r="N19" s="13">
        <v>0</v>
      </c>
      <c r="O19" s="13">
        <v>1</v>
      </c>
      <c r="P19" s="13">
        <v>0</v>
      </c>
      <c r="Q19" s="13">
        <v>0</v>
      </c>
      <c r="R19" s="13"/>
      <c r="S19">
        <f t="shared" si="0"/>
        <v>1</v>
      </c>
      <c r="T19">
        <f t="shared" si="1"/>
        <v>1</v>
      </c>
      <c r="U19">
        <f t="shared" si="2"/>
        <v>0</v>
      </c>
      <c r="V19">
        <f t="shared" si="3"/>
        <v>1</v>
      </c>
      <c r="W19">
        <f t="shared" si="4"/>
        <v>1</v>
      </c>
      <c r="AV19" s="25" t="s">
        <v>47</v>
      </c>
      <c r="AW19" s="27">
        <f>AVERAGE(AW3:AW18)</f>
        <v>0.75000000000000011</v>
      </c>
      <c r="AX19" s="27">
        <f>AVERAGE(AX3:AX18)</f>
        <v>0.86250000000000004</v>
      </c>
      <c r="AY19" s="27">
        <f>AVERAGE(AY3:AY18)</f>
        <v>0.56874999999999998</v>
      </c>
      <c r="AZ19" s="27">
        <f>AVERAGE(AZ3:AZ18)</f>
        <v>0.9437500000000002</v>
      </c>
      <c r="BA19" s="27">
        <f>AVERAGE(BA3:BA18)</f>
        <v>0.82500000000000007</v>
      </c>
      <c r="BE19" s="34" t="s">
        <v>47</v>
      </c>
      <c r="BF19" s="34">
        <f>AVERAGE(BF3:BF18)</f>
        <v>0.75000000000000011</v>
      </c>
      <c r="BG19" s="34">
        <f>AVERAGE(BG4,BG6,BG8,BG10,BG12:BG13,BG15,BG17,BG18)</f>
        <v>0.75555555555555554</v>
      </c>
      <c r="BH19" s="34">
        <f>AVERAGE(BH3:BH18)</f>
        <v>0.56874999999999998</v>
      </c>
      <c r="BI19" s="34">
        <f>AVERAGE(BI4,BI6,BI8,BI10,BI12:BI13,BI15,BI17)</f>
        <v>0.88750000000000007</v>
      </c>
      <c r="BJ19" s="34">
        <f>AVERAGE(BJ4,BJ6,BJ8,BJ10,BJ12:BJ13,BJ15,BJ17:BJ18)</f>
        <v>0.68888888888888888</v>
      </c>
    </row>
    <row r="20" spans="1:62" hidden="1">
      <c r="A20" s="1">
        <v>2</v>
      </c>
      <c r="B20" s="2" t="s">
        <v>12</v>
      </c>
      <c r="C20" s="10">
        <v>2</v>
      </c>
      <c r="D20" s="2" t="s">
        <v>16</v>
      </c>
      <c r="E20" s="2">
        <v>1</v>
      </c>
      <c r="F20" s="2">
        <v>1</v>
      </c>
      <c r="G20" s="2">
        <v>1</v>
      </c>
      <c r="H20" s="2">
        <v>1</v>
      </c>
      <c r="I20" s="2">
        <v>0</v>
      </c>
      <c r="J20" s="9">
        <f t="shared" si="5"/>
        <v>0</v>
      </c>
      <c r="K20" s="7">
        <f t="shared" si="6"/>
        <v>0.6</v>
      </c>
      <c r="L20" s="10">
        <v>2</v>
      </c>
      <c r="M20" s="13">
        <v>1</v>
      </c>
      <c r="N20" s="13">
        <v>0</v>
      </c>
      <c r="O20" s="13">
        <v>1</v>
      </c>
      <c r="P20" s="13">
        <v>1</v>
      </c>
      <c r="Q20" s="13">
        <v>1</v>
      </c>
      <c r="R20" s="13"/>
      <c r="S20">
        <f t="shared" si="0"/>
        <v>1</v>
      </c>
      <c r="T20">
        <f t="shared" si="1"/>
        <v>0</v>
      </c>
      <c r="U20">
        <f t="shared" si="2"/>
        <v>1</v>
      </c>
      <c r="V20">
        <f t="shared" si="3"/>
        <v>1</v>
      </c>
      <c r="W20">
        <f t="shared" si="4"/>
        <v>0</v>
      </c>
      <c r="AV20" s="25" t="s">
        <v>48</v>
      </c>
      <c r="AW20" s="27">
        <f>STDEV(AW3:AW18)</f>
        <v>0.17888543819998293</v>
      </c>
      <c r="AX20" s="27">
        <f>STDEV(AX3:AX18)</f>
        <v>0.16278820596099686</v>
      </c>
      <c r="AY20" s="27">
        <f>STDEV(AY3:AY18)</f>
        <v>0.11383467544352814</v>
      </c>
      <c r="AZ20" s="27">
        <f>STDEV(AZ3:AZ18)</f>
        <v>6.2915286960589567E-2</v>
      </c>
      <c r="BA20" s="27">
        <f>STDEV(BA3:BA18)</f>
        <v>0.21756225162774279</v>
      </c>
      <c r="BE20" s="34" t="s">
        <v>49</v>
      </c>
      <c r="BF20" s="34">
        <f>AVERAGE(BF3,BF5,BF7,BF9,BF11,BF14,BF16)</f>
        <v>0.85714285714285732</v>
      </c>
      <c r="BG20" s="34" t="s">
        <v>43</v>
      </c>
      <c r="BH20" s="34">
        <f t="shared" ref="BH20" si="7">AVERAGE(BH3,BH5,BH7,BH9,BH11,BH14,BH16)</f>
        <v>0.5714285714285714</v>
      </c>
      <c r="BI20" s="34" t="s">
        <v>43</v>
      </c>
      <c r="BJ20" s="34" t="s">
        <v>43</v>
      </c>
    </row>
    <row r="21" spans="1:62" ht="15.6" customHeight="1">
      <c r="A21" s="1">
        <v>2</v>
      </c>
      <c r="B21" s="2" t="s">
        <v>12</v>
      </c>
      <c r="C21" s="10">
        <v>3</v>
      </c>
      <c r="D21" s="2" t="s">
        <v>17</v>
      </c>
      <c r="E21" s="2">
        <v>1</v>
      </c>
      <c r="F21" s="2">
        <v>0</v>
      </c>
      <c r="G21" s="2">
        <v>0</v>
      </c>
      <c r="H21" s="2">
        <v>0</v>
      </c>
      <c r="I21" s="2">
        <v>0</v>
      </c>
      <c r="J21" s="9">
        <f t="shared" si="5"/>
        <v>-3</v>
      </c>
      <c r="K21" s="7">
        <f t="shared" si="6"/>
        <v>0.5</v>
      </c>
      <c r="L21" s="10">
        <v>3</v>
      </c>
      <c r="M21" s="13">
        <v>1</v>
      </c>
      <c r="N21" s="13">
        <v>0</v>
      </c>
      <c r="O21" s="13">
        <v>1</v>
      </c>
      <c r="P21" s="13">
        <v>0</v>
      </c>
      <c r="Q21" s="13">
        <v>0</v>
      </c>
      <c r="R21" s="13"/>
      <c r="S21">
        <f t="shared" si="0"/>
        <v>1</v>
      </c>
      <c r="T21">
        <f t="shared" si="1"/>
        <v>1</v>
      </c>
      <c r="U21">
        <f t="shared" si="2"/>
        <v>0</v>
      </c>
      <c r="V21">
        <f t="shared" si="3"/>
        <v>1</v>
      </c>
      <c r="W21">
        <f t="shared" si="4"/>
        <v>1</v>
      </c>
      <c r="BA21" s="6"/>
      <c r="BE21" s="34" t="s">
        <v>50</v>
      </c>
      <c r="BF21" s="34">
        <f>AVERAGE(BF4,BF6,BF8,BF10,BF12,BF13,BF15,BF17)</f>
        <v>0.67500000000000004</v>
      </c>
      <c r="BG21" s="34">
        <f t="shared" ref="BG21:BJ21" si="8">AVERAGE(BG4,BG6,BG8,BG10,BG12,BG13,BG15,BG17)</f>
        <v>0.77500000000000002</v>
      </c>
      <c r="BH21" s="34">
        <f t="shared" si="8"/>
        <v>0.58750000000000002</v>
      </c>
      <c r="BI21" s="34">
        <f t="shared" si="8"/>
        <v>0.88750000000000007</v>
      </c>
      <c r="BJ21" s="34">
        <f t="shared" si="8"/>
        <v>0.67500000000000004</v>
      </c>
    </row>
    <row r="22" spans="1:62" ht="15.6" hidden="1" customHeight="1">
      <c r="A22" s="1">
        <v>2</v>
      </c>
      <c r="B22" s="2" t="s">
        <v>12</v>
      </c>
      <c r="C22" s="10">
        <v>4</v>
      </c>
      <c r="D22" s="2" t="s">
        <v>18</v>
      </c>
      <c r="E22" s="2">
        <v>1</v>
      </c>
      <c r="F22" s="2">
        <v>0</v>
      </c>
      <c r="G22" s="2">
        <v>1</v>
      </c>
      <c r="H22" s="2">
        <v>1</v>
      </c>
      <c r="I22" s="2">
        <v>1</v>
      </c>
      <c r="J22" s="9">
        <f t="shared" si="5"/>
        <v>0</v>
      </c>
      <c r="K22" s="7">
        <f t="shared" si="6"/>
        <v>0.6</v>
      </c>
      <c r="L22" s="10">
        <v>4</v>
      </c>
      <c r="M22" s="13">
        <v>0</v>
      </c>
      <c r="N22" s="13">
        <v>1</v>
      </c>
      <c r="O22" s="13">
        <v>1</v>
      </c>
      <c r="P22" s="13">
        <v>1</v>
      </c>
      <c r="Q22" s="13">
        <v>1</v>
      </c>
      <c r="R22" s="13"/>
      <c r="S22">
        <f t="shared" si="0"/>
        <v>0</v>
      </c>
      <c r="T22">
        <f t="shared" si="1"/>
        <v>0</v>
      </c>
      <c r="U22">
        <f t="shared" si="2"/>
        <v>1</v>
      </c>
      <c r="V22">
        <f t="shared" si="3"/>
        <v>1</v>
      </c>
      <c r="W22">
        <f t="shared" si="4"/>
        <v>1</v>
      </c>
      <c r="AV22" s="22" t="s">
        <v>49</v>
      </c>
      <c r="AW22" s="28">
        <f>AVERAGE(AW3,AW5,AW7,AW9,AW11,AW14)</f>
        <v>0.85000000000000009</v>
      </c>
      <c r="AX22" s="28">
        <f>AVERAGE(AX3,AX5,AX7,AX9,AX11,AX14)</f>
        <v>1</v>
      </c>
      <c r="AY22" s="28">
        <f>AVERAGE(AY3,AY5,AY7,AY9,AY11,AY14)</f>
        <v>0.58333333333333337</v>
      </c>
      <c r="AZ22" s="28">
        <f>AVERAGE(AZ3,AZ5,AZ7,AZ9,AZ11,AZ14)</f>
        <v>1</v>
      </c>
      <c r="BA22" s="28">
        <f>AVERAGE(BA3,BA5,BA7,BA9,BA11,BA14)</f>
        <v>1</v>
      </c>
      <c r="BE22" s="34" t="s">
        <v>51</v>
      </c>
      <c r="BF22">
        <f>BF18</f>
        <v>0.6</v>
      </c>
      <c r="BG22">
        <f t="shared" ref="BG22:BJ22" si="9">BG18</f>
        <v>0.6</v>
      </c>
      <c r="BH22">
        <f t="shared" si="9"/>
        <v>0.4</v>
      </c>
      <c r="BI22" t="str">
        <f t="shared" si="9"/>
        <v>X</v>
      </c>
      <c r="BJ22">
        <f t="shared" si="9"/>
        <v>0.8</v>
      </c>
    </row>
    <row r="23" spans="1:62" ht="15.6" customHeight="1">
      <c r="A23" s="1">
        <v>2</v>
      </c>
      <c r="B23" s="2" t="s">
        <v>12</v>
      </c>
      <c r="C23" s="10">
        <v>5</v>
      </c>
      <c r="D23" s="2" t="s">
        <v>19</v>
      </c>
      <c r="E23" s="2">
        <v>1</v>
      </c>
      <c r="F23" s="2">
        <v>0</v>
      </c>
      <c r="G23" s="2">
        <v>0</v>
      </c>
      <c r="H23" s="2">
        <v>0</v>
      </c>
      <c r="I23" s="2">
        <v>0</v>
      </c>
      <c r="J23" s="9">
        <f t="shared" si="5"/>
        <v>-3</v>
      </c>
      <c r="K23" s="7">
        <f t="shared" si="6"/>
        <v>0.5</v>
      </c>
      <c r="L23" s="10">
        <v>5</v>
      </c>
      <c r="M23" s="13">
        <v>1</v>
      </c>
      <c r="N23" s="13">
        <v>0</v>
      </c>
      <c r="O23" s="13">
        <v>1</v>
      </c>
      <c r="P23" s="13">
        <v>0</v>
      </c>
      <c r="Q23" s="13">
        <v>0</v>
      </c>
      <c r="R23" s="13"/>
      <c r="S23">
        <f t="shared" si="0"/>
        <v>1</v>
      </c>
      <c r="T23">
        <f t="shared" si="1"/>
        <v>1</v>
      </c>
      <c r="U23">
        <f t="shared" si="2"/>
        <v>0</v>
      </c>
      <c r="V23">
        <f t="shared" si="3"/>
        <v>1</v>
      </c>
      <c r="W23">
        <f t="shared" si="4"/>
        <v>1</v>
      </c>
      <c r="AV23" s="17" t="s">
        <v>50</v>
      </c>
      <c r="AW23" s="29">
        <f>AVERAGE(AW4,AW6,AW8,AW10,AW12:AW13,AW15:AW17)</f>
        <v>0.70000000000000007</v>
      </c>
      <c r="AX23" s="29">
        <f>AVERAGE(AX4,AX6,AX8,AX10,AX12:AX13,AX15:AX17)</f>
        <v>0.8</v>
      </c>
      <c r="AY23" s="29">
        <f>AVERAGE(AY4,AY6,AY8,AY10,AY12:AY13,AY15:AY17)</f>
        <v>0.57777777777777783</v>
      </c>
      <c r="AZ23" s="29">
        <f>AVERAGE(AZ4,AZ6,AZ8,AZ10,AZ12:AZ13,AZ15:AZ17)</f>
        <v>0.90000000000000013</v>
      </c>
      <c r="BA23" s="29">
        <f>AVERAGE(BA4,BA6,BA8,BA10,BA12:BA13,BA15:BA17)</f>
        <v>0.71111111111111114</v>
      </c>
    </row>
    <row r="24" spans="1:62" hidden="1">
      <c r="A24" s="1">
        <v>2</v>
      </c>
      <c r="B24" s="2" t="s">
        <v>12</v>
      </c>
      <c r="C24" s="10">
        <v>6</v>
      </c>
      <c r="D24" s="2" t="s">
        <v>20</v>
      </c>
      <c r="E24" s="2">
        <v>1</v>
      </c>
      <c r="F24" s="2">
        <v>0</v>
      </c>
      <c r="G24" s="2">
        <v>0</v>
      </c>
      <c r="H24" s="2">
        <v>1</v>
      </c>
      <c r="I24" s="2">
        <v>0</v>
      </c>
      <c r="J24" s="9">
        <f t="shared" si="5"/>
        <v>0</v>
      </c>
      <c r="K24" s="7">
        <f t="shared" si="6"/>
        <v>0.6</v>
      </c>
      <c r="L24" s="10">
        <v>6</v>
      </c>
      <c r="M24" s="13">
        <v>1</v>
      </c>
      <c r="N24" s="13">
        <v>0</v>
      </c>
      <c r="O24" s="13">
        <v>1</v>
      </c>
      <c r="P24" s="13">
        <v>1</v>
      </c>
      <c r="Q24" s="13">
        <v>1</v>
      </c>
      <c r="R24" s="13"/>
      <c r="S24">
        <f t="shared" si="0"/>
        <v>1</v>
      </c>
      <c r="T24">
        <f t="shared" si="1"/>
        <v>1</v>
      </c>
      <c r="U24">
        <f t="shared" si="2"/>
        <v>0</v>
      </c>
      <c r="V24">
        <f t="shared" si="3"/>
        <v>1</v>
      </c>
      <c r="W24">
        <f t="shared" si="4"/>
        <v>0</v>
      </c>
    </row>
    <row r="25" spans="1:62">
      <c r="A25" s="1">
        <v>2</v>
      </c>
      <c r="B25" s="2" t="s">
        <v>12</v>
      </c>
      <c r="C25" s="10">
        <v>7</v>
      </c>
      <c r="D25" s="2" t="s">
        <v>21</v>
      </c>
      <c r="E25" s="2">
        <v>1</v>
      </c>
      <c r="F25" s="2">
        <v>0</v>
      </c>
      <c r="G25" s="2">
        <v>0</v>
      </c>
      <c r="H25" s="2">
        <v>0</v>
      </c>
      <c r="I25" s="2">
        <v>0</v>
      </c>
      <c r="J25" s="9">
        <f t="shared" si="5"/>
        <v>-3</v>
      </c>
      <c r="K25" s="7">
        <f t="shared" si="6"/>
        <v>0.5</v>
      </c>
      <c r="L25" s="10">
        <v>7</v>
      </c>
      <c r="M25" s="13">
        <v>1</v>
      </c>
      <c r="N25" s="13">
        <v>0</v>
      </c>
      <c r="O25" s="13">
        <v>1</v>
      </c>
      <c r="P25" s="13">
        <v>0</v>
      </c>
      <c r="Q25" s="13">
        <v>0</v>
      </c>
      <c r="R25" s="13"/>
      <c r="S25">
        <f t="shared" si="0"/>
        <v>1</v>
      </c>
      <c r="T25">
        <f t="shared" si="1"/>
        <v>1</v>
      </c>
      <c r="U25">
        <f t="shared" si="2"/>
        <v>0</v>
      </c>
      <c r="V25">
        <f t="shared" si="3"/>
        <v>1</v>
      </c>
      <c r="W25">
        <f t="shared" si="4"/>
        <v>1</v>
      </c>
    </row>
    <row r="26" spans="1:62" hidden="1">
      <c r="A26" s="1">
        <v>2</v>
      </c>
      <c r="B26" s="2" t="s">
        <v>12</v>
      </c>
      <c r="C26" s="10">
        <v>8</v>
      </c>
      <c r="D26" s="2" t="s">
        <v>22</v>
      </c>
      <c r="E26" s="2">
        <v>1</v>
      </c>
      <c r="F26" s="2">
        <v>0</v>
      </c>
      <c r="G26" s="2">
        <v>0</v>
      </c>
      <c r="H26" s="2">
        <v>1</v>
      </c>
      <c r="I26" s="2">
        <v>0</v>
      </c>
      <c r="J26" s="9">
        <f t="shared" si="5"/>
        <v>0</v>
      </c>
      <c r="K26" s="7">
        <f t="shared" si="6"/>
        <v>0.6</v>
      </c>
      <c r="L26" s="10">
        <v>8</v>
      </c>
      <c r="M26" s="13">
        <v>1</v>
      </c>
      <c r="N26" s="13">
        <v>0</v>
      </c>
      <c r="O26" s="13">
        <v>1</v>
      </c>
      <c r="P26" s="13">
        <v>1</v>
      </c>
      <c r="Q26" s="13">
        <v>1</v>
      </c>
      <c r="R26" s="13"/>
      <c r="S26">
        <f t="shared" si="0"/>
        <v>1</v>
      </c>
      <c r="T26">
        <f t="shared" si="1"/>
        <v>1</v>
      </c>
      <c r="U26">
        <f t="shared" si="2"/>
        <v>0</v>
      </c>
      <c r="V26">
        <f t="shared" si="3"/>
        <v>1</v>
      </c>
      <c r="W26">
        <f t="shared" si="4"/>
        <v>0</v>
      </c>
    </row>
    <row r="27" spans="1:62">
      <c r="A27" s="1">
        <v>2</v>
      </c>
      <c r="B27" s="2" t="s">
        <v>12</v>
      </c>
      <c r="C27" s="10">
        <v>9</v>
      </c>
      <c r="D27" s="2" t="s">
        <v>23</v>
      </c>
      <c r="E27" s="2">
        <v>1</v>
      </c>
      <c r="F27" s="2">
        <v>0</v>
      </c>
      <c r="G27" s="2">
        <v>0</v>
      </c>
      <c r="H27" s="2">
        <v>0</v>
      </c>
      <c r="I27" s="2">
        <v>0</v>
      </c>
      <c r="J27" s="9">
        <f t="shared" si="5"/>
        <v>-3</v>
      </c>
      <c r="K27" s="7">
        <f t="shared" si="6"/>
        <v>0.5</v>
      </c>
      <c r="L27" s="10">
        <v>9</v>
      </c>
      <c r="M27" s="13">
        <v>1</v>
      </c>
      <c r="N27" s="13">
        <v>0</v>
      </c>
      <c r="O27" s="13">
        <v>1</v>
      </c>
      <c r="P27" s="13">
        <v>0</v>
      </c>
      <c r="Q27" s="13">
        <v>0</v>
      </c>
      <c r="R27" s="13"/>
      <c r="S27">
        <f t="shared" si="0"/>
        <v>1</v>
      </c>
      <c r="T27">
        <f t="shared" si="1"/>
        <v>1</v>
      </c>
      <c r="U27">
        <f t="shared" si="2"/>
        <v>0</v>
      </c>
      <c r="V27">
        <f t="shared" si="3"/>
        <v>1</v>
      </c>
      <c r="W27">
        <f t="shared" si="4"/>
        <v>1</v>
      </c>
    </row>
    <row r="28" spans="1:62" hidden="1">
      <c r="A28" s="1">
        <v>2</v>
      </c>
      <c r="B28" s="2" t="s">
        <v>12</v>
      </c>
      <c r="C28" s="10">
        <v>10</v>
      </c>
      <c r="D28" s="2" t="s">
        <v>24</v>
      </c>
      <c r="E28" s="2">
        <v>1</v>
      </c>
      <c r="F28" s="2">
        <v>0</v>
      </c>
      <c r="G28" s="2">
        <v>1</v>
      </c>
      <c r="H28" s="2">
        <v>1</v>
      </c>
      <c r="I28" s="2">
        <v>0</v>
      </c>
      <c r="J28" s="9">
        <f t="shared" si="5"/>
        <v>0</v>
      </c>
      <c r="K28" s="7">
        <f t="shared" si="6"/>
        <v>0.8</v>
      </c>
      <c r="L28" s="10">
        <v>10</v>
      </c>
      <c r="M28" s="13">
        <v>1</v>
      </c>
      <c r="N28" s="13">
        <v>0</v>
      </c>
      <c r="O28" s="13">
        <v>0</v>
      </c>
      <c r="P28" s="13">
        <v>1</v>
      </c>
      <c r="Q28" s="13">
        <v>0</v>
      </c>
      <c r="R28" s="13"/>
      <c r="S28">
        <f t="shared" si="0"/>
        <v>1</v>
      </c>
      <c r="T28">
        <f t="shared" si="1"/>
        <v>1</v>
      </c>
      <c r="U28">
        <f t="shared" si="2"/>
        <v>0</v>
      </c>
      <c r="V28">
        <f t="shared" si="3"/>
        <v>1</v>
      </c>
      <c r="W28">
        <f t="shared" si="4"/>
        <v>1</v>
      </c>
    </row>
    <row r="29" spans="1:62">
      <c r="A29" s="1">
        <v>2</v>
      </c>
      <c r="B29" s="2" t="s">
        <v>12</v>
      </c>
      <c r="C29" s="10">
        <v>11</v>
      </c>
      <c r="D29" s="2" t="s">
        <v>25</v>
      </c>
      <c r="E29" s="2">
        <v>1</v>
      </c>
      <c r="F29" s="2">
        <v>0</v>
      </c>
      <c r="G29" s="2">
        <v>0</v>
      </c>
      <c r="H29" s="2">
        <v>1</v>
      </c>
      <c r="I29" s="2">
        <v>0</v>
      </c>
      <c r="J29" s="9">
        <f t="shared" si="5"/>
        <v>0</v>
      </c>
      <c r="K29" s="7">
        <f t="shared" si="6"/>
        <v>0.8</v>
      </c>
      <c r="L29" s="10">
        <v>11</v>
      </c>
      <c r="M29" s="13">
        <v>1</v>
      </c>
      <c r="N29" s="13">
        <v>0</v>
      </c>
      <c r="O29" s="13">
        <v>1</v>
      </c>
      <c r="P29" s="13">
        <v>1</v>
      </c>
      <c r="Q29" s="13">
        <v>0</v>
      </c>
      <c r="R29" s="13"/>
      <c r="S29">
        <f t="shared" si="0"/>
        <v>1</v>
      </c>
      <c r="T29">
        <f t="shared" si="1"/>
        <v>1</v>
      </c>
      <c r="U29">
        <f t="shared" si="2"/>
        <v>0</v>
      </c>
      <c r="V29">
        <f t="shared" si="3"/>
        <v>1</v>
      </c>
      <c r="W29">
        <f t="shared" si="4"/>
        <v>1</v>
      </c>
    </row>
    <row r="30" spans="1:62" hidden="1">
      <c r="A30" s="1">
        <v>2</v>
      </c>
      <c r="B30" s="2" t="s">
        <v>12</v>
      </c>
      <c r="C30" s="10">
        <v>12</v>
      </c>
      <c r="D30" s="2" t="s">
        <v>26</v>
      </c>
      <c r="E30" s="2">
        <v>1</v>
      </c>
      <c r="F30" s="2">
        <v>0</v>
      </c>
      <c r="G30" s="2">
        <v>0</v>
      </c>
      <c r="H30" s="2">
        <v>0</v>
      </c>
      <c r="I30" s="2">
        <v>0</v>
      </c>
      <c r="J30" s="9">
        <f t="shared" si="5"/>
        <v>-3</v>
      </c>
      <c r="K30" s="7">
        <f t="shared" si="6"/>
        <v>0.5</v>
      </c>
      <c r="L30" s="10">
        <v>12</v>
      </c>
      <c r="M30" s="13">
        <v>1</v>
      </c>
      <c r="N30" s="13">
        <v>0</v>
      </c>
      <c r="O30" s="13">
        <v>1</v>
      </c>
      <c r="P30" s="13">
        <v>0</v>
      </c>
      <c r="Q30" s="13">
        <v>0</v>
      </c>
      <c r="R30" s="13"/>
      <c r="S30">
        <f t="shared" si="0"/>
        <v>1</v>
      </c>
      <c r="T30">
        <f t="shared" si="1"/>
        <v>1</v>
      </c>
      <c r="U30">
        <f t="shared" si="2"/>
        <v>0</v>
      </c>
      <c r="V30">
        <f t="shared" si="3"/>
        <v>1</v>
      </c>
      <c r="W30">
        <f t="shared" si="4"/>
        <v>1</v>
      </c>
    </row>
    <row r="31" spans="1:62" hidden="1">
      <c r="A31" s="1">
        <v>2</v>
      </c>
      <c r="B31" s="2" t="s">
        <v>12</v>
      </c>
      <c r="C31" s="10">
        <v>13</v>
      </c>
      <c r="D31" s="2" t="s">
        <v>27</v>
      </c>
      <c r="E31" s="2">
        <v>1</v>
      </c>
      <c r="F31" s="2">
        <v>1</v>
      </c>
      <c r="G31" s="2">
        <v>0</v>
      </c>
      <c r="H31" s="2">
        <v>1</v>
      </c>
      <c r="I31" s="2">
        <v>0</v>
      </c>
      <c r="J31" s="9">
        <f t="shared" si="5"/>
        <v>0</v>
      </c>
      <c r="K31" s="7">
        <f t="shared" si="6"/>
        <v>0.6</v>
      </c>
      <c r="L31" s="10">
        <v>13</v>
      </c>
      <c r="M31" s="13">
        <v>1</v>
      </c>
      <c r="N31" s="13">
        <v>0</v>
      </c>
      <c r="O31" s="13">
        <v>0</v>
      </c>
      <c r="P31" s="13">
        <v>1</v>
      </c>
      <c r="Q31" s="13">
        <v>1</v>
      </c>
      <c r="R31" s="13"/>
      <c r="S31">
        <f t="shared" si="0"/>
        <v>1</v>
      </c>
      <c r="T31">
        <f t="shared" si="1"/>
        <v>0</v>
      </c>
      <c r="U31">
        <f t="shared" si="2"/>
        <v>1</v>
      </c>
      <c r="V31">
        <f t="shared" si="3"/>
        <v>1</v>
      </c>
      <c r="W31">
        <f t="shared" si="4"/>
        <v>0</v>
      </c>
    </row>
    <row r="32" spans="1:62">
      <c r="A32" s="1">
        <v>2</v>
      </c>
      <c r="B32" s="2" t="s">
        <v>12</v>
      </c>
      <c r="C32" s="10">
        <v>14</v>
      </c>
      <c r="D32" s="2" t="s">
        <v>28</v>
      </c>
      <c r="E32" s="2">
        <v>1</v>
      </c>
      <c r="F32" s="2">
        <v>0</v>
      </c>
      <c r="G32" s="2">
        <v>0</v>
      </c>
      <c r="H32" s="2">
        <v>0</v>
      </c>
      <c r="I32" s="2">
        <v>0</v>
      </c>
      <c r="J32" s="9">
        <f t="shared" si="5"/>
        <v>-3</v>
      </c>
      <c r="K32" s="7">
        <f t="shared" si="6"/>
        <v>0.5</v>
      </c>
      <c r="L32" s="10">
        <v>14</v>
      </c>
      <c r="M32" s="13">
        <v>1</v>
      </c>
      <c r="N32" s="13">
        <v>0</v>
      </c>
      <c r="O32" s="13">
        <v>1</v>
      </c>
      <c r="P32" s="13">
        <v>0</v>
      </c>
      <c r="Q32" s="13">
        <v>0</v>
      </c>
      <c r="R32" s="13"/>
      <c r="S32">
        <f t="shared" si="0"/>
        <v>1</v>
      </c>
      <c r="T32">
        <f t="shared" si="1"/>
        <v>1</v>
      </c>
      <c r="U32">
        <f t="shared" si="2"/>
        <v>0</v>
      </c>
      <c r="V32">
        <f t="shared" si="3"/>
        <v>1</v>
      </c>
      <c r="W32">
        <f t="shared" si="4"/>
        <v>1</v>
      </c>
    </row>
    <row r="33" spans="1:23" hidden="1">
      <c r="A33" s="1">
        <v>2</v>
      </c>
      <c r="B33" s="2" t="s">
        <v>12</v>
      </c>
      <c r="C33" s="10">
        <v>15</v>
      </c>
      <c r="D33" s="2" t="s">
        <v>29</v>
      </c>
      <c r="E33" s="2">
        <v>1</v>
      </c>
      <c r="F33" s="2">
        <v>0</v>
      </c>
      <c r="G33" s="2">
        <v>0</v>
      </c>
      <c r="H33" s="2">
        <v>1</v>
      </c>
      <c r="I33" s="2">
        <v>0</v>
      </c>
      <c r="J33" s="9">
        <f t="shared" si="5"/>
        <v>0</v>
      </c>
      <c r="K33" s="7">
        <f t="shared" si="6"/>
        <v>0.6</v>
      </c>
      <c r="L33" s="10">
        <v>15</v>
      </c>
      <c r="M33" s="13">
        <v>1</v>
      </c>
      <c r="N33" s="13">
        <v>0</v>
      </c>
      <c r="O33" s="13">
        <v>1</v>
      </c>
      <c r="P33" s="13">
        <v>1</v>
      </c>
      <c r="Q33" s="13">
        <v>1</v>
      </c>
      <c r="R33" s="13"/>
      <c r="S33">
        <f t="shared" si="0"/>
        <v>1</v>
      </c>
      <c r="T33">
        <f t="shared" si="1"/>
        <v>1</v>
      </c>
      <c r="U33">
        <f t="shared" si="2"/>
        <v>0</v>
      </c>
      <c r="V33">
        <f t="shared" si="3"/>
        <v>1</v>
      </c>
      <c r="W33">
        <f t="shared" si="4"/>
        <v>0</v>
      </c>
    </row>
    <row r="34" spans="1:23" hidden="1">
      <c r="A34" s="1">
        <v>2</v>
      </c>
      <c r="B34" s="2" t="s">
        <v>30</v>
      </c>
      <c r="C34" s="10">
        <v>16</v>
      </c>
      <c r="D34" s="2" t="s">
        <v>31</v>
      </c>
      <c r="E34" s="2">
        <v>1</v>
      </c>
      <c r="F34" s="2">
        <v>1</v>
      </c>
      <c r="G34" s="2">
        <v>1</v>
      </c>
      <c r="H34" s="2">
        <v>0</v>
      </c>
      <c r="I34" s="2">
        <v>0</v>
      </c>
      <c r="J34" s="9">
        <f t="shared" si="5"/>
        <v>-1</v>
      </c>
      <c r="K34" s="7">
        <f t="shared" si="6"/>
        <v>0.5</v>
      </c>
      <c r="L34" s="10">
        <v>16</v>
      </c>
      <c r="M34" s="13">
        <v>1</v>
      </c>
      <c r="N34" s="13">
        <v>0</v>
      </c>
      <c r="O34" s="13">
        <v>1</v>
      </c>
      <c r="P34" s="13">
        <v>0</v>
      </c>
      <c r="Q34" s="13">
        <v>1</v>
      </c>
      <c r="R34" s="13"/>
      <c r="S34">
        <f t="shared" si="0"/>
        <v>1</v>
      </c>
      <c r="T34">
        <f t="shared" si="1"/>
        <v>0</v>
      </c>
      <c r="U34">
        <f t="shared" si="2"/>
        <v>1</v>
      </c>
      <c r="V34">
        <f t="shared" si="3"/>
        <v>1</v>
      </c>
      <c r="W34">
        <f t="shared" si="4"/>
        <v>0</v>
      </c>
    </row>
    <row r="35" spans="1:23">
      <c r="A35" s="1">
        <v>3</v>
      </c>
      <c r="B35" s="2" t="s">
        <v>12</v>
      </c>
      <c r="C35" s="10">
        <v>1</v>
      </c>
      <c r="D35" s="2" t="s">
        <v>32</v>
      </c>
      <c r="E35" s="2">
        <v>1</v>
      </c>
      <c r="F35" s="2">
        <v>0</v>
      </c>
      <c r="G35" s="2">
        <v>0</v>
      </c>
      <c r="H35" s="2">
        <v>0</v>
      </c>
      <c r="I35" s="2">
        <v>0</v>
      </c>
      <c r="J35" s="9">
        <f t="shared" si="5"/>
        <v>-3</v>
      </c>
      <c r="K35" s="7">
        <f t="shared" si="6"/>
        <v>0.5</v>
      </c>
      <c r="L35" s="10">
        <v>1</v>
      </c>
      <c r="M35" s="13">
        <v>1</v>
      </c>
      <c r="N35" s="13">
        <v>0</v>
      </c>
      <c r="O35" s="13">
        <v>1</v>
      </c>
      <c r="P35" s="13">
        <v>0</v>
      </c>
      <c r="Q35" s="13">
        <v>0</v>
      </c>
      <c r="R35" s="13"/>
      <c r="S35">
        <f t="shared" ref="S35:S66" si="10">IF(E35=M35, 1, 0)</f>
        <v>1</v>
      </c>
      <c r="T35">
        <f t="shared" ref="T35:T66" si="11">IF(F35=N35, 1, 0)</f>
        <v>1</v>
      </c>
      <c r="U35">
        <f t="shared" ref="U35:U66" si="12">IF(G35=O35, 1, 0)</f>
        <v>0</v>
      </c>
      <c r="V35">
        <f t="shared" ref="V35:V66" si="13">IF(H35=P35, 1, 0)</f>
        <v>1</v>
      </c>
      <c r="W35">
        <f t="shared" ref="W35:W66" si="14">IF(I35=Q35, 1, 0)</f>
        <v>1</v>
      </c>
    </row>
    <row r="36" spans="1:23" hidden="1">
      <c r="A36" s="1">
        <v>3</v>
      </c>
      <c r="B36" s="2" t="s">
        <v>12</v>
      </c>
      <c r="C36" s="10">
        <v>2</v>
      </c>
      <c r="D36" s="2" t="s">
        <v>16</v>
      </c>
      <c r="E36" s="2">
        <v>1</v>
      </c>
      <c r="F36" s="2">
        <v>0</v>
      </c>
      <c r="G36" s="2">
        <v>1</v>
      </c>
      <c r="H36" s="2">
        <v>1</v>
      </c>
      <c r="I36" s="2">
        <v>0</v>
      </c>
      <c r="J36" s="9">
        <f t="shared" si="5"/>
        <v>0</v>
      </c>
      <c r="K36" s="7">
        <f t="shared" si="6"/>
        <v>1</v>
      </c>
      <c r="L36" s="10">
        <v>2</v>
      </c>
      <c r="M36" s="13">
        <v>1</v>
      </c>
      <c r="N36" s="13">
        <v>0</v>
      </c>
      <c r="O36" s="13">
        <v>1</v>
      </c>
      <c r="P36" s="13">
        <v>1</v>
      </c>
      <c r="Q36" s="13">
        <v>0</v>
      </c>
      <c r="R36" s="13"/>
      <c r="S36">
        <f t="shared" si="10"/>
        <v>1</v>
      </c>
      <c r="T36">
        <f t="shared" si="11"/>
        <v>1</v>
      </c>
      <c r="U36">
        <f t="shared" si="12"/>
        <v>1</v>
      </c>
      <c r="V36">
        <f t="shared" si="13"/>
        <v>1</v>
      </c>
      <c r="W36">
        <f t="shared" si="14"/>
        <v>1</v>
      </c>
    </row>
    <row r="37" spans="1:23">
      <c r="A37" s="1">
        <v>3</v>
      </c>
      <c r="B37" s="2" t="s">
        <v>12</v>
      </c>
      <c r="C37" s="10">
        <v>3</v>
      </c>
      <c r="D37" s="2" t="s">
        <v>17</v>
      </c>
      <c r="E37" s="2">
        <v>1</v>
      </c>
      <c r="F37" s="2">
        <v>0</v>
      </c>
      <c r="G37" s="2">
        <v>0</v>
      </c>
      <c r="H37" s="2">
        <v>0</v>
      </c>
      <c r="I37" s="2">
        <v>0</v>
      </c>
      <c r="J37" s="9">
        <f t="shared" si="5"/>
        <v>-3</v>
      </c>
      <c r="K37" s="7">
        <f t="shared" ref="K37:K68" si="15">SUM(IF(E37=M37,1,0),IF(F37=N37,1,0),IF(G37=O37,1,0),IF(H37=P37,1,0),IF(I37=Q37,1,0),J37)/IF(OR(C37=1,C37=3,C37=5,C37=7,C37=9,C37=12,C37=14),2,IF(OR(C37=2,C37=4,C37=6,C37=8,C37=10,C37=11,C37=13,C37=15),5,4))</f>
        <v>0.5</v>
      </c>
      <c r="L37" s="10">
        <v>3</v>
      </c>
      <c r="M37" s="13">
        <v>1</v>
      </c>
      <c r="N37" s="13">
        <v>0</v>
      </c>
      <c r="O37" s="13">
        <v>1</v>
      </c>
      <c r="P37" s="13">
        <v>0</v>
      </c>
      <c r="Q37" s="13">
        <v>0</v>
      </c>
      <c r="R37" s="13"/>
      <c r="S37">
        <f t="shared" si="10"/>
        <v>1</v>
      </c>
      <c r="T37">
        <f t="shared" si="11"/>
        <v>1</v>
      </c>
      <c r="U37">
        <f t="shared" si="12"/>
        <v>0</v>
      </c>
      <c r="V37">
        <f t="shared" si="13"/>
        <v>1</v>
      </c>
      <c r="W37">
        <f t="shared" si="14"/>
        <v>1</v>
      </c>
    </row>
    <row r="38" spans="1:23" hidden="1">
      <c r="A38" s="1">
        <v>3</v>
      </c>
      <c r="B38" s="2" t="s">
        <v>12</v>
      </c>
      <c r="C38" s="10">
        <v>4</v>
      </c>
      <c r="D38" s="2" t="s">
        <v>18</v>
      </c>
      <c r="E38" s="2">
        <v>1</v>
      </c>
      <c r="F38" s="2">
        <v>1</v>
      </c>
      <c r="G38" s="2">
        <v>0</v>
      </c>
      <c r="H38" s="2">
        <v>1</v>
      </c>
      <c r="I38" s="2">
        <v>0</v>
      </c>
      <c r="J38" s="9">
        <f t="shared" si="5"/>
        <v>0</v>
      </c>
      <c r="K38" s="7">
        <f t="shared" si="15"/>
        <v>0.4</v>
      </c>
      <c r="L38" s="10">
        <v>4</v>
      </c>
      <c r="M38" s="13">
        <v>1</v>
      </c>
      <c r="N38" s="13">
        <v>0</v>
      </c>
      <c r="O38" s="13">
        <v>1</v>
      </c>
      <c r="P38" s="13">
        <v>1</v>
      </c>
      <c r="Q38" s="13">
        <v>1</v>
      </c>
      <c r="R38" s="13"/>
      <c r="S38">
        <f t="shared" si="10"/>
        <v>1</v>
      </c>
      <c r="T38">
        <f t="shared" si="11"/>
        <v>0</v>
      </c>
      <c r="U38">
        <f t="shared" si="12"/>
        <v>0</v>
      </c>
      <c r="V38">
        <f t="shared" si="13"/>
        <v>1</v>
      </c>
      <c r="W38">
        <f t="shared" si="14"/>
        <v>0</v>
      </c>
    </row>
    <row r="39" spans="1:23">
      <c r="A39" s="1">
        <v>3</v>
      </c>
      <c r="B39" s="2" t="s">
        <v>12</v>
      </c>
      <c r="C39" s="10">
        <v>5</v>
      </c>
      <c r="D39" s="2" t="s">
        <v>19</v>
      </c>
      <c r="E39" s="2">
        <v>1</v>
      </c>
      <c r="F39" s="2">
        <v>0</v>
      </c>
      <c r="G39" s="2">
        <v>0</v>
      </c>
      <c r="H39" s="2">
        <v>0</v>
      </c>
      <c r="I39" s="2">
        <v>0</v>
      </c>
      <c r="J39" s="9">
        <f t="shared" si="5"/>
        <v>-3</v>
      </c>
      <c r="K39" s="7">
        <f t="shared" si="15"/>
        <v>0.5</v>
      </c>
      <c r="L39" s="10">
        <v>5</v>
      </c>
      <c r="M39" s="13">
        <v>1</v>
      </c>
      <c r="N39" s="13">
        <v>0</v>
      </c>
      <c r="O39" s="13">
        <v>1</v>
      </c>
      <c r="P39" s="13">
        <v>0</v>
      </c>
      <c r="Q39" s="13">
        <v>0</v>
      </c>
      <c r="R39" s="13"/>
      <c r="S39">
        <f t="shared" si="10"/>
        <v>1</v>
      </c>
      <c r="T39">
        <f t="shared" si="11"/>
        <v>1</v>
      </c>
      <c r="U39">
        <f t="shared" si="12"/>
        <v>0</v>
      </c>
      <c r="V39">
        <f t="shared" si="13"/>
        <v>1</v>
      </c>
      <c r="W39">
        <f t="shared" si="14"/>
        <v>1</v>
      </c>
    </row>
    <row r="40" spans="1:23" hidden="1">
      <c r="A40" s="1">
        <v>3</v>
      </c>
      <c r="B40" s="2" t="s">
        <v>12</v>
      </c>
      <c r="C40" s="10">
        <v>6</v>
      </c>
      <c r="D40" s="2" t="s">
        <v>20</v>
      </c>
      <c r="E40" s="2">
        <v>1</v>
      </c>
      <c r="F40" s="2">
        <v>0</v>
      </c>
      <c r="G40" s="2">
        <v>0</v>
      </c>
      <c r="H40" s="2">
        <v>1</v>
      </c>
      <c r="I40" s="2">
        <v>0</v>
      </c>
      <c r="J40" s="9">
        <f t="shared" si="5"/>
        <v>0</v>
      </c>
      <c r="K40" s="7">
        <f t="shared" si="15"/>
        <v>0.8</v>
      </c>
      <c r="L40" s="10">
        <v>6</v>
      </c>
      <c r="M40" s="13">
        <v>1</v>
      </c>
      <c r="N40" s="13">
        <v>0</v>
      </c>
      <c r="O40" s="13">
        <v>1</v>
      </c>
      <c r="P40" s="13">
        <v>1</v>
      </c>
      <c r="Q40" s="13">
        <v>0</v>
      </c>
      <c r="R40" s="13"/>
      <c r="S40">
        <f t="shared" si="10"/>
        <v>1</v>
      </c>
      <c r="T40">
        <f t="shared" si="11"/>
        <v>1</v>
      </c>
      <c r="U40">
        <f t="shared" si="12"/>
        <v>0</v>
      </c>
      <c r="V40">
        <f t="shared" si="13"/>
        <v>1</v>
      </c>
      <c r="W40">
        <f t="shared" si="14"/>
        <v>1</v>
      </c>
    </row>
    <row r="41" spans="1:23">
      <c r="A41" s="1">
        <v>3</v>
      </c>
      <c r="B41" s="2" t="s">
        <v>12</v>
      </c>
      <c r="C41" s="10">
        <v>7</v>
      </c>
      <c r="D41" s="2" t="s">
        <v>21</v>
      </c>
      <c r="E41" s="2">
        <v>1</v>
      </c>
      <c r="F41" s="2">
        <v>0</v>
      </c>
      <c r="G41" s="2">
        <v>0</v>
      </c>
      <c r="H41" s="2">
        <v>0</v>
      </c>
      <c r="I41" s="2">
        <v>0</v>
      </c>
      <c r="J41" s="9">
        <f t="shared" si="5"/>
        <v>-3</v>
      </c>
      <c r="K41" s="7">
        <f t="shared" si="15"/>
        <v>0.5</v>
      </c>
      <c r="L41" s="10">
        <v>7</v>
      </c>
      <c r="M41" s="13">
        <v>1</v>
      </c>
      <c r="N41" s="13">
        <v>0</v>
      </c>
      <c r="O41" s="13">
        <v>1</v>
      </c>
      <c r="P41" s="13">
        <v>0</v>
      </c>
      <c r="Q41" s="13">
        <v>0</v>
      </c>
      <c r="R41" s="13"/>
      <c r="S41">
        <f t="shared" si="10"/>
        <v>1</v>
      </c>
      <c r="T41">
        <f t="shared" si="11"/>
        <v>1</v>
      </c>
      <c r="U41">
        <f t="shared" si="12"/>
        <v>0</v>
      </c>
      <c r="V41">
        <f t="shared" si="13"/>
        <v>1</v>
      </c>
      <c r="W41">
        <f t="shared" si="14"/>
        <v>1</v>
      </c>
    </row>
    <row r="42" spans="1:23" hidden="1">
      <c r="A42" s="1">
        <v>3</v>
      </c>
      <c r="B42" s="2" t="s">
        <v>12</v>
      </c>
      <c r="C42" s="10">
        <v>8</v>
      </c>
      <c r="D42" s="2" t="s">
        <v>22</v>
      </c>
      <c r="E42" s="2">
        <v>1</v>
      </c>
      <c r="F42" s="2">
        <v>0</v>
      </c>
      <c r="G42" s="2">
        <v>0</v>
      </c>
      <c r="H42" s="2">
        <v>1</v>
      </c>
      <c r="I42" s="2">
        <v>0</v>
      </c>
      <c r="J42" s="9">
        <f t="shared" si="5"/>
        <v>0</v>
      </c>
      <c r="K42" s="7">
        <f t="shared" si="15"/>
        <v>1</v>
      </c>
      <c r="L42" s="10">
        <v>8</v>
      </c>
      <c r="M42" s="13">
        <v>1</v>
      </c>
      <c r="N42" s="13">
        <v>0</v>
      </c>
      <c r="O42" s="13">
        <v>0</v>
      </c>
      <c r="P42" s="13">
        <v>1</v>
      </c>
      <c r="Q42" s="13">
        <v>0</v>
      </c>
      <c r="R42" s="13"/>
      <c r="S42">
        <f t="shared" si="10"/>
        <v>1</v>
      </c>
      <c r="T42">
        <f t="shared" si="11"/>
        <v>1</v>
      </c>
      <c r="U42">
        <f t="shared" si="12"/>
        <v>1</v>
      </c>
      <c r="V42">
        <f t="shared" si="13"/>
        <v>1</v>
      </c>
      <c r="W42">
        <f t="shared" si="14"/>
        <v>1</v>
      </c>
    </row>
    <row r="43" spans="1:23">
      <c r="A43" s="1">
        <v>3</v>
      </c>
      <c r="B43" s="2" t="s">
        <v>12</v>
      </c>
      <c r="C43" s="10">
        <v>9</v>
      </c>
      <c r="D43" s="2" t="s">
        <v>23</v>
      </c>
      <c r="E43" s="2">
        <v>1</v>
      </c>
      <c r="F43" s="2">
        <v>0</v>
      </c>
      <c r="G43" s="2">
        <v>0</v>
      </c>
      <c r="H43" s="2">
        <v>0</v>
      </c>
      <c r="I43" s="2">
        <v>0</v>
      </c>
      <c r="J43" s="9">
        <f t="shared" si="5"/>
        <v>-3</v>
      </c>
      <c r="K43" s="7">
        <f t="shared" si="15"/>
        <v>0.5</v>
      </c>
      <c r="L43" s="10">
        <v>9</v>
      </c>
      <c r="M43" s="13">
        <v>1</v>
      </c>
      <c r="N43" s="13">
        <v>0</v>
      </c>
      <c r="O43" s="13">
        <v>1</v>
      </c>
      <c r="P43" s="13">
        <v>0</v>
      </c>
      <c r="Q43" s="13">
        <v>0</v>
      </c>
      <c r="R43" s="13"/>
      <c r="S43">
        <f t="shared" si="10"/>
        <v>1</v>
      </c>
      <c r="T43">
        <f t="shared" si="11"/>
        <v>1</v>
      </c>
      <c r="U43">
        <f t="shared" si="12"/>
        <v>0</v>
      </c>
      <c r="V43">
        <f t="shared" si="13"/>
        <v>1</v>
      </c>
      <c r="W43">
        <f t="shared" si="14"/>
        <v>1</v>
      </c>
    </row>
    <row r="44" spans="1:23" hidden="1">
      <c r="A44" s="1">
        <v>3</v>
      </c>
      <c r="B44" s="2" t="s">
        <v>12</v>
      </c>
      <c r="C44" s="10">
        <v>10</v>
      </c>
      <c r="D44" s="2" t="s">
        <v>24</v>
      </c>
      <c r="E44" s="2">
        <v>1</v>
      </c>
      <c r="F44" s="2">
        <v>0</v>
      </c>
      <c r="G44" s="2">
        <v>0</v>
      </c>
      <c r="H44" s="2">
        <v>1</v>
      </c>
      <c r="I44" s="2">
        <v>0</v>
      </c>
      <c r="J44" s="9">
        <f t="shared" si="5"/>
        <v>0</v>
      </c>
      <c r="K44" s="7">
        <f t="shared" si="15"/>
        <v>0.8</v>
      </c>
      <c r="L44" s="10">
        <v>10</v>
      </c>
      <c r="M44" s="13">
        <v>1</v>
      </c>
      <c r="N44" s="13">
        <v>0</v>
      </c>
      <c r="O44" s="13">
        <v>1</v>
      </c>
      <c r="P44" s="13">
        <v>1</v>
      </c>
      <c r="Q44" s="13">
        <v>0</v>
      </c>
      <c r="R44" s="13"/>
      <c r="S44">
        <f t="shared" si="10"/>
        <v>1</v>
      </c>
      <c r="T44">
        <f t="shared" si="11"/>
        <v>1</v>
      </c>
      <c r="U44">
        <f t="shared" si="12"/>
        <v>0</v>
      </c>
      <c r="V44">
        <f t="shared" si="13"/>
        <v>1</v>
      </c>
      <c r="W44">
        <f t="shared" si="14"/>
        <v>1</v>
      </c>
    </row>
    <row r="45" spans="1:23">
      <c r="A45" s="1">
        <v>3</v>
      </c>
      <c r="B45" s="2" t="s">
        <v>12</v>
      </c>
      <c r="C45" s="10">
        <v>11</v>
      </c>
      <c r="D45" s="2" t="s">
        <v>25</v>
      </c>
      <c r="E45" s="2">
        <v>1</v>
      </c>
      <c r="F45" s="2">
        <v>0</v>
      </c>
      <c r="G45" s="2">
        <v>0</v>
      </c>
      <c r="H45" s="2">
        <v>1</v>
      </c>
      <c r="I45" s="2">
        <v>0</v>
      </c>
      <c r="J45" s="9">
        <f t="shared" si="5"/>
        <v>0</v>
      </c>
      <c r="K45" s="7">
        <f t="shared" si="15"/>
        <v>0.8</v>
      </c>
      <c r="L45" s="10">
        <v>11</v>
      </c>
      <c r="M45" s="13">
        <v>1</v>
      </c>
      <c r="N45" s="13">
        <v>0</v>
      </c>
      <c r="O45" s="13">
        <v>1</v>
      </c>
      <c r="P45" s="13">
        <v>1</v>
      </c>
      <c r="Q45" s="13">
        <v>0</v>
      </c>
      <c r="R45" s="13"/>
      <c r="S45">
        <f t="shared" si="10"/>
        <v>1</v>
      </c>
      <c r="T45">
        <f t="shared" si="11"/>
        <v>1</v>
      </c>
      <c r="U45">
        <f t="shared" si="12"/>
        <v>0</v>
      </c>
      <c r="V45">
        <f t="shared" si="13"/>
        <v>1</v>
      </c>
      <c r="W45">
        <f t="shared" si="14"/>
        <v>1</v>
      </c>
    </row>
    <row r="46" spans="1:23" hidden="1">
      <c r="A46" s="1">
        <v>3</v>
      </c>
      <c r="B46" s="2" t="s">
        <v>12</v>
      </c>
      <c r="C46" s="10">
        <v>12</v>
      </c>
      <c r="D46" s="2" t="s">
        <v>26</v>
      </c>
      <c r="E46" s="2">
        <v>1</v>
      </c>
      <c r="F46" s="2">
        <v>0</v>
      </c>
      <c r="G46" s="2">
        <v>0</v>
      </c>
      <c r="H46" s="2">
        <v>0</v>
      </c>
      <c r="I46" s="2">
        <v>0</v>
      </c>
      <c r="J46" s="9">
        <f t="shared" si="5"/>
        <v>-3</v>
      </c>
      <c r="K46" s="7">
        <f t="shared" si="15"/>
        <v>0.5</v>
      </c>
      <c r="L46" s="10">
        <v>12</v>
      </c>
      <c r="M46" s="13">
        <v>1</v>
      </c>
      <c r="N46" s="13">
        <v>0</v>
      </c>
      <c r="O46" s="13">
        <v>1</v>
      </c>
      <c r="P46" s="13">
        <v>0</v>
      </c>
      <c r="Q46" s="13">
        <v>0</v>
      </c>
      <c r="R46" s="13"/>
      <c r="S46">
        <f t="shared" si="10"/>
        <v>1</v>
      </c>
      <c r="T46">
        <f t="shared" si="11"/>
        <v>1</v>
      </c>
      <c r="U46">
        <f t="shared" si="12"/>
        <v>0</v>
      </c>
      <c r="V46">
        <f t="shared" si="13"/>
        <v>1</v>
      </c>
      <c r="W46">
        <f t="shared" si="14"/>
        <v>1</v>
      </c>
    </row>
    <row r="47" spans="1:23" hidden="1">
      <c r="A47" s="1">
        <v>3</v>
      </c>
      <c r="B47" s="2" t="s">
        <v>12</v>
      </c>
      <c r="C47" s="10">
        <v>13</v>
      </c>
      <c r="D47" s="2" t="s">
        <v>27</v>
      </c>
      <c r="E47" s="2">
        <v>1</v>
      </c>
      <c r="F47" s="2">
        <v>0</v>
      </c>
      <c r="G47" s="2">
        <v>0</v>
      </c>
      <c r="H47" s="2">
        <v>1</v>
      </c>
      <c r="I47" s="2">
        <v>1</v>
      </c>
      <c r="J47" s="9">
        <f t="shared" si="5"/>
        <v>0</v>
      </c>
      <c r="K47" s="7">
        <f t="shared" si="15"/>
        <v>0.8</v>
      </c>
      <c r="L47" s="10">
        <v>13</v>
      </c>
      <c r="M47" s="13">
        <v>1</v>
      </c>
      <c r="N47" s="13">
        <v>0</v>
      </c>
      <c r="O47" s="13">
        <v>0</v>
      </c>
      <c r="P47" s="13">
        <v>1</v>
      </c>
      <c r="Q47" s="13">
        <v>0</v>
      </c>
      <c r="R47" s="13"/>
      <c r="S47">
        <f t="shared" si="10"/>
        <v>1</v>
      </c>
      <c r="T47">
        <f t="shared" si="11"/>
        <v>1</v>
      </c>
      <c r="U47">
        <f t="shared" si="12"/>
        <v>1</v>
      </c>
      <c r="V47">
        <f t="shared" si="13"/>
        <v>1</v>
      </c>
      <c r="W47">
        <f t="shared" si="14"/>
        <v>0</v>
      </c>
    </row>
    <row r="48" spans="1:23">
      <c r="A48" s="1">
        <v>3</v>
      </c>
      <c r="B48" s="2" t="s">
        <v>12</v>
      </c>
      <c r="C48" s="10">
        <v>14</v>
      </c>
      <c r="D48" s="2" t="s">
        <v>28</v>
      </c>
      <c r="E48" s="2">
        <v>1</v>
      </c>
      <c r="F48" s="2">
        <v>0</v>
      </c>
      <c r="G48" s="2">
        <v>0</v>
      </c>
      <c r="H48" s="2">
        <v>0</v>
      </c>
      <c r="I48" s="2">
        <v>0</v>
      </c>
      <c r="J48" s="9">
        <f t="shared" si="5"/>
        <v>-3</v>
      </c>
      <c r="K48" s="7">
        <f t="shared" si="15"/>
        <v>0.5</v>
      </c>
      <c r="L48" s="10">
        <v>14</v>
      </c>
      <c r="M48" s="13">
        <v>1</v>
      </c>
      <c r="N48" s="13">
        <v>0</v>
      </c>
      <c r="O48" s="13">
        <v>1</v>
      </c>
      <c r="P48" s="13">
        <v>0</v>
      </c>
      <c r="Q48" s="13">
        <v>0</v>
      </c>
      <c r="R48" s="13"/>
      <c r="S48">
        <f t="shared" si="10"/>
        <v>1</v>
      </c>
      <c r="T48">
        <f t="shared" si="11"/>
        <v>1</v>
      </c>
      <c r="U48">
        <f t="shared" si="12"/>
        <v>0</v>
      </c>
      <c r="V48">
        <f t="shared" si="13"/>
        <v>1</v>
      </c>
      <c r="W48">
        <f t="shared" si="14"/>
        <v>1</v>
      </c>
    </row>
    <row r="49" spans="1:23" hidden="1">
      <c r="A49" s="1">
        <v>3</v>
      </c>
      <c r="B49" s="2" t="s">
        <v>12</v>
      </c>
      <c r="C49" s="10">
        <v>15</v>
      </c>
      <c r="D49" s="2" t="s">
        <v>29</v>
      </c>
      <c r="E49" s="2">
        <v>1</v>
      </c>
      <c r="F49" s="2">
        <v>0</v>
      </c>
      <c r="G49" s="2">
        <v>0</v>
      </c>
      <c r="H49" s="2">
        <v>1</v>
      </c>
      <c r="I49" s="2">
        <v>0</v>
      </c>
      <c r="J49" s="9">
        <f t="shared" si="5"/>
        <v>0</v>
      </c>
      <c r="K49" s="7">
        <f t="shared" si="15"/>
        <v>0.8</v>
      </c>
      <c r="L49" s="10">
        <v>15</v>
      </c>
      <c r="M49" s="13">
        <v>1</v>
      </c>
      <c r="N49" s="13">
        <v>0</v>
      </c>
      <c r="O49" s="13">
        <v>0</v>
      </c>
      <c r="P49" s="13">
        <v>1</v>
      </c>
      <c r="Q49" s="13">
        <v>1</v>
      </c>
      <c r="R49" s="13"/>
      <c r="S49">
        <f t="shared" si="10"/>
        <v>1</v>
      </c>
      <c r="T49">
        <f t="shared" si="11"/>
        <v>1</v>
      </c>
      <c r="U49">
        <f t="shared" si="12"/>
        <v>1</v>
      </c>
      <c r="V49">
        <f t="shared" si="13"/>
        <v>1</v>
      </c>
      <c r="W49">
        <f t="shared" si="14"/>
        <v>0</v>
      </c>
    </row>
    <row r="50" spans="1:23" hidden="1">
      <c r="A50" s="1">
        <v>3</v>
      </c>
      <c r="B50" s="2" t="s">
        <v>30</v>
      </c>
      <c r="C50" s="10">
        <v>16</v>
      </c>
      <c r="D50" s="2" t="s">
        <v>31</v>
      </c>
      <c r="E50" s="2">
        <v>1</v>
      </c>
      <c r="F50" s="2">
        <v>0</v>
      </c>
      <c r="G50" s="2">
        <v>0</v>
      </c>
      <c r="H50" s="2">
        <v>0</v>
      </c>
      <c r="I50" s="2">
        <v>1</v>
      </c>
      <c r="J50" s="9">
        <f t="shared" si="5"/>
        <v>-1</v>
      </c>
      <c r="K50" s="7">
        <f t="shared" si="15"/>
        <v>0.25</v>
      </c>
      <c r="L50" s="10">
        <v>16</v>
      </c>
      <c r="M50" s="13">
        <v>0</v>
      </c>
      <c r="N50" s="13">
        <v>1</v>
      </c>
      <c r="O50" s="13">
        <v>1</v>
      </c>
      <c r="P50" s="13">
        <v>0</v>
      </c>
      <c r="Q50" s="13">
        <v>1</v>
      </c>
      <c r="R50" s="13"/>
      <c r="S50">
        <f t="shared" si="10"/>
        <v>0</v>
      </c>
      <c r="T50">
        <f t="shared" si="11"/>
        <v>0</v>
      </c>
      <c r="U50">
        <f t="shared" si="12"/>
        <v>0</v>
      </c>
      <c r="V50">
        <f t="shared" si="13"/>
        <v>1</v>
      </c>
      <c r="W50">
        <f t="shared" si="14"/>
        <v>1</v>
      </c>
    </row>
    <row r="51" spans="1:23" hidden="1">
      <c r="A51" s="1">
        <v>4</v>
      </c>
      <c r="B51" s="2" t="s">
        <v>12</v>
      </c>
      <c r="C51" s="10">
        <v>1</v>
      </c>
      <c r="D51" s="2" t="s">
        <v>32</v>
      </c>
      <c r="E51" s="2">
        <v>1</v>
      </c>
      <c r="F51" s="2">
        <v>0</v>
      </c>
      <c r="G51" s="2">
        <v>1</v>
      </c>
      <c r="H51" s="2">
        <v>0</v>
      </c>
      <c r="I51" s="2">
        <v>0</v>
      </c>
      <c r="J51" s="9">
        <f t="shared" si="5"/>
        <v>-3</v>
      </c>
      <c r="K51" s="7">
        <f t="shared" si="15"/>
        <v>1</v>
      </c>
      <c r="L51" s="10">
        <v>1</v>
      </c>
      <c r="M51" s="13">
        <v>1</v>
      </c>
      <c r="N51" s="13">
        <v>0</v>
      </c>
      <c r="O51" s="13">
        <v>1</v>
      </c>
      <c r="P51" s="13">
        <v>0</v>
      </c>
      <c r="Q51" s="13">
        <v>0</v>
      </c>
      <c r="R51" s="13"/>
      <c r="S51">
        <f t="shared" si="10"/>
        <v>1</v>
      </c>
      <c r="T51">
        <f t="shared" si="11"/>
        <v>1</v>
      </c>
      <c r="U51">
        <f t="shared" si="12"/>
        <v>1</v>
      </c>
      <c r="V51">
        <f t="shared" si="13"/>
        <v>1</v>
      </c>
      <c r="W51">
        <f t="shared" si="14"/>
        <v>1</v>
      </c>
    </row>
    <row r="52" spans="1:23" hidden="1">
      <c r="A52" s="1">
        <v>4</v>
      </c>
      <c r="B52" s="2" t="s">
        <v>12</v>
      </c>
      <c r="C52" s="10">
        <v>2</v>
      </c>
      <c r="D52" s="2" t="s">
        <v>16</v>
      </c>
      <c r="E52" s="2">
        <v>0</v>
      </c>
      <c r="F52" s="2">
        <v>0</v>
      </c>
      <c r="G52" s="2">
        <v>0</v>
      </c>
      <c r="H52" s="2">
        <v>1</v>
      </c>
      <c r="I52" s="2">
        <v>0</v>
      </c>
      <c r="J52" s="9">
        <f t="shared" si="5"/>
        <v>0</v>
      </c>
      <c r="K52" s="7">
        <f t="shared" si="15"/>
        <v>0.6</v>
      </c>
      <c r="L52" s="10">
        <v>2</v>
      </c>
      <c r="M52" s="13">
        <v>1</v>
      </c>
      <c r="N52" s="13">
        <v>0</v>
      </c>
      <c r="O52" s="13">
        <v>1</v>
      </c>
      <c r="P52" s="13">
        <v>1</v>
      </c>
      <c r="Q52" s="13">
        <v>0</v>
      </c>
      <c r="R52" s="13"/>
      <c r="S52">
        <f t="shared" si="10"/>
        <v>0</v>
      </c>
      <c r="T52">
        <f t="shared" si="11"/>
        <v>1</v>
      </c>
      <c r="U52">
        <f t="shared" si="12"/>
        <v>0</v>
      </c>
      <c r="V52">
        <f t="shared" si="13"/>
        <v>1</v>
      </c>
      <c r="W52">
        <f t="shared" si="14"/>
        <v>1</v>
      </c>
    </row>
    <row r="53" spans="1:23" hidden="1">
      <c r="A53" s="1">
        <v>4</v>
      </c>
      <c r="B53" s="2" t="s">
        <v>12</v>
      </c>
      <c r="C53" s="10">
        <v>3</v>
      </c>
      <c r="D53" s="2" t="s">
        <v>17</v>
      </c>
      <c r="E53" s="2">
        <v>1</v>
      </c>
      <c r="F53" s="2">
        <v>0</v>
      </c>
      <c r="G53" s="2">
        <v>1</v>
      </c>
      <c r="H53" s="2">
        <v>0</v>
      </c>
      <c r="I53" s="2">
        <v>0</v>
      </c>
      <c r="J53" s="9">
        <f t="shared" si="5"/>
        <v>-3</v>
      </c>
      <c r="K53" s="7">
        <f t="shared" si="15"/>
        <v>1</v>
      </c>
      <c r="L53" s="10">
        <v>3</v>
      </c>
      <c r="M53" s="13">
        <v>1</v>
      </c>
      <c r="N53" s="13">
        <v>0</v>
      </c>
      <c r="O53" s="13">
        <v>1</v>
      </c>
      <c r="P53" s="13">
        <v>0</v>
      </c>
      <c r="Q53" s="13">
        <v>0</v>
      </c>
      <c r="R53" s="13"/>
      <c r="S53">
        <f t="shared" si="10"/>
        <v>1</v>
      </c>
      <c r="T53">
        <f t="shared" si="11"/>
        <v>1</v>
      </c>
      <c r="U53">
        <f t="shared" si="12"/>
        <v>1</v>
      </c>
      <c r="V53">
        <f t="shared" si="13"/>
        <v>1</v>
      </c>
      <c r="W53">
        <f t="shared" si="14"/>
        <v>1</v>
      </c>
    </row>
    <row r="54" spans="1:23" hidden="1">
      <c r="A54" s="1">
        <v>4</v>
      </c>
      <c r="B54" s="2" t="s">
        <v>12</v>
      </c>
      <c r="C54" s="10">
        <v>4</v>
      </c>
      <c r="D54" s="2" t="s">
        <v>18</v>
      </c>
      <c r="E54" s="2">
        <v>0</v>
      </c>
      <c r="F54" s="2">
        <v>0</v>
      </c>
      <c r="G54" s="2">
        <v>1</v>
      </c>
      <c r="H54" s="2">
        <v>1</v>
      </c>
      <c r="I54" s="2">
        <v>0</v>
      </c>
      <c r="J54" s="9">
        <f t="shared" si="5"/>
        <v>0</v>
      </c>
      <c r="K54" s="7">
        <f t="shared" si="15"/>
        <v>0.4</v>
      </c>
      <c r="L54" s="10">
        <v>4</v>
      </c>
      <c r="M54" s="13">
        <v>1</v>
      </c>
      <c r="N54" s="13">
        <v>0</v>
      </c>
      <c r="O54" s="13">
        <v>0</v>
      </c>
      <c r="P54" s="13">
        <v>1</v>
      </c>
      <c r="Q54" s="13">
        <v>1</v>
      </c>
      <c r="R54" s="13"/>
      <c r="S54">
        <f t="shared" si="10"/>
        <v>0</v>
      </c>
      <c r="T54">
        <f t="shared" si="11"/>
        <v>1</v>
      </c>
      <c r="U54">
        <f t="shared" si="12"/>
        <v>0</v>
      </c>
      <c r="V54">
        <f t="shared" si="13"/>
        <v>1</v>
      </c>
      <c r="W54">
        <f t="shared" si="14"/>
        <v>0</v>
      </c>
    </row>
    <row r="55" spans="1:23" hidden="1">
      <c r="A55" s="1">
        <v>4</v>
      </c>
      <c r="B55" s="2" t="s">
        <v>12</v>
      </c>
      <c r="C55" s="10">
        <v>5</v>
      </c>
      <c r="D55" s="2" t="s">
        <v>19</v>
      </c>
      <c r="E55" s="2">
        <v>1</v>
      </c>
      <c r="F55" s="2">
        <v>0</v>
      </c>
      <c r="G55" s="2">
        <v>1</v>
      </c>
      <c r="H55" s="2">
        <v>0</v>
      </c>
      <c r="I55" s="2">
        <v>0</v>
      </c>
      <c r="J55" s="9">
        <f t="shared" si="5"/>
        <v>-3</v>
      </c>
      <c r="K55" s="7">
        <f t="shared" si="15"/>
        <v>1</v>
      </c>
      <c r="L55" s="10">
        <v>5</v>
      </c>
      <c r="M55" s="13">
        <v>1</v>
      </c>
      <c r="N55" s="13">
        <v>0</v>
      </c>
      <c r="O55" s="13">
        <v>1</v>
      </c>
      <c r="P55" s="13">
        <v>0</v>
      </c>
      <c r="Q55" s="13">
        <v>0</v>
      </c>
      <c r="R55" s="13"/>
      <c r="S55">
        <f t="shared" si="10"/>
        <v>1</v>
      </c>
      <c r="T55">
        <f t="shared" si="11"/>
        <v>1</v>
      </c>
      <c r="U55">
        <f t="shared" si="12"/>
        <v>1</v>
      </c>
      <c r="V55">
        <f t="shared" si="13"/>
        <v>1</v>
      </c>
      <c r="W55">
        <f t="shared" si="14"/>
        <v>1</v>
      </c>
    </row>
    <row r="56" spans="1:23" hidden="1">
      <c r="A56" s="1">
        <v>4</v>
      </c>
      <c r="B56" s="2" t="s">
        <v>12</v>
      </c>
      <c r="C56" s="10">
        <v>6</v>
      </c>
      <c r="D56" s="2" t="s">
        <v>20</v>
      </c>
      <c r="E56" s="2">
        <v>0</v>
      </c>
      <c r="F56" s="2">
        <v>0</v>
      </c>
      <c r="G56" s="2">
        <v>0</v>
      </c>
      <c r="H56" s="2">
        <v>1</v>
      </c>
      <c r="I56" s="2">
        <v>0</v>
      </c>
      <c r="J56" s="9">
        <f t="shared" si="5"/>
        <v>0</v>
      </c>
      <c r="K56" s="7">
        <f t="shared" si="15"/>
        <v>0.6</v>
      </c>
      <c r="L56" s="10">
        <v>6</v>
      </c>
      <c r="M56" s="13">
        <v>1</v>
      </c>
      <c r="N56" s="13">
        <v>0</v>
      </c>
      <c r="O56" s="13">
        <v>1</v>
      </c>
      <c r="P56" s="13">
        <v>1</v>
      </c>
      <c r="Q56" s="13">
        <v>0</v>
      </c>
      <c r="R56" s="13"/>
      <c r="S56">
        <f t="shared" si="10"/>
        <v>0</v>
      </c>
      <c r="T56">
        <f t="shared" si="11"/>
        <v>1</v>
      </c>
      <c r="U56">
        <f t="shared" si="12"/>
        <v>0</v>
      </c>
      <c r="V56">
        <f t="shared" si="13"/>
        <v>1</v>
      </c>
      <c r="W56">
        <f t="shared" si="14"/>
        <v>1</v>
      </c>
    </row>
    <row r="57" spans="1:23" hidden="1">
      <c r="A57" s="1">
        <v>4</v>
      </c>
      <c r="B57" s="2" t="s">
        <v>12</v>
      </c>
      <c r="C57" s="10">
        <v>7</v>
      </c>
      <c r="D57" s="2" t="s">
        <v>21</v>
      </c>
      <c r="E57" s="2">
        <v>1</v>
      </c>
      <c r="F57" s="2">
        <v>0</v>
      </c>
      <c r="G57" s="2">
        <v>1</v>
      </c>
      <c r="H57" s="2">
        <v>0</v>
      </c>
      <c r="I57" s="2">
        <v>0</v>
      </c>
      <c r="J57" s="9">
        <f t="shared" si="5"/>
        <v>-3</v>
      </c>
      <c r="K57" s="7">
        <f t="shared" si="15"/>
        <v>1</v>
      </c>
      <c r="L57" s="10">
        <v>7</v>
      </c>
      <c r="M57" s="13">
        <v>1</v>
      </c>
      <c r="N57" s="13">
        <v>0</v>
      </c>
      <c r="O57" s="13">
        <v>1</v>
      </c>
      <c r="P57" s="13">
        <v>0</v>
      </c>
      <c r="Q57" s="13">
        <v>0</v>
      </c>
      <c r="R57" s="13"/>
      <c r="S57">
        <f t="shared" si="10"/>
        <v>1</v>
      </c>
      <c r="T57">
        <f t="shared" si="11"/>
        <v>1</v>
      </c>
      <c r="U57">
        <f t="shared" si="12"/>
        <v>1</v>
      </c>
      <c r="V57">
        <f t="shared" si="13"/>
        <v>1</v>
      </c>
      <c r="W57">
        <f t="shared" si="14"/>
        <v>1</v>
      </c>
    </row>
    <row r="58" spans="1:23" hidden="1">
      <c r="A58" s="1">
        <v>4</v>
      </c>
      <c r="B58" s="2" t="s">
        <v>12</v>
      </c>
      <c r="C58" s="10">
        <v>8</v>
      </c>
      <c r="D58" s="2" t="s">
        <v>22</v>
      </c>
      <c r="E58" s="2">
        <v>0</v>
      </c>
      <c r="F58" s="2">
        <v>0</v>
      </c>
      <c r="G58" s="2">
        <v>0</v>
      </c>
      <c r="H58" s="2">
        <v>1</v>
      </c>
      <c r="I58" s="2">
        <v>0</v>
      </c>
      <c r="J58" s="9">
        <f t="shared" si="5"/>
        <v>0</v>
      </c>
      <c r="K58" s="7">
        <f t="shared" si="15"/>
        <v>0.8</v>
      </c>
      <c r="L58" s="10">
        <v>8</v>
      </c>
      <c r="M58" s="13">
        <v>0</v>
      </c>
      <c r="N58" s="13">
        <v>0</v>
      </c>
      <c r="O58" s="13">
        <v>1</v>
      </c>
      <c r="P58" s="13">
        <v>1</v>
      </c>
      <c r="Q58" s="13">
        <v>0</v>
      </c>
      <c r="R58" s="13"/>
      <c r="S58">
        <f t="shared" si="10"/>
        <v>1</v>
      </c>
      <c r="T58">
        <f t="shared" si="11"/>
        <v>1</v>
      </c>
      <c r="U58">
        <f t="shared" si="12"/>
        <v>0</v>
      </c>
      <c r="V58">
        <f t="shared" si="13"/>
        <v>1</v>
      </c>
      <c r="W58">
        <f t="shared" si="14"/>
        <v>1</v>
      </c>
    </row>
    <row r="59" spans="1:23" hidden="1">
      <c r="A59" s="1">
        <v>4</v>
      </c>
      <c r="B59" s="2" t="s">
        <v>12</v>
      </c>
      <c r="C59" s="10">
        <v>9</v>
      </c>
      <c r="D59" s="2" t="s">
        <v>23</v>
      </c>
      <c r="E59" s="2">
        <v>1</v>
      </c>
      <c r="F59" s="2">
        <v>0</v>
      </c>
      <c r="G59" s="2">
        <v>1</v>
      </c>
      <c r="H59" s="2">
        <v>0</v>
      </c>
      <c r="I59" s="2">
        <v>0</v>
      </c>
      <c r="J59" s="9">
        <f t="shared" si="5"/>
        <v>-3</v>
      </c>
      <c r="K59" s="7">
        <f t="shared" si="15"/>
        <v>1</v>
      </c>
      <c r="L59" s="10">
        <v>9</v>
      </c>
      <c r="M59" s="13">
        <v>1</v>
      </c>
      <c r="N59" s="13">
        <v>0</v>
      </c>
      <c r="O59" s="13">
        <v>1</v>
      </c>
      <c r="P59" s="13">
        <v>0</v>
      </c>
      <c r="Q59" s="13">
        <v>0</v>
      </c>
      <c r="R59" s="13"/>
      <c r="S59">
        <f t="shared" si="10"/>
        <v>1</v>
      </c>
      <c r="T59">
        <f t="shared" si="11"/>
        <v>1</v>
      </c>
      <c r="U59">
        <f t="shared" si="12"/>
        <v>1</v>
      </c>
      <c r="V59">
        <f t="shared" si="13"/>
        <v>1</v>
      </c>
      <c r="W59">
        <f t="shared" si="14"/>
        <v>1</v>
      </c>
    </row>
    <row r="60" spans="1:23" hidden="1">
      <c r="A60" s="1">
        <v>4</v>
      </c>
      <c r="B60" s="2" t="s">
        <v>12</v>
      </c>
      <c r="C60" s="10">
        <v>10</v>
      </c>
      <c r="D60" s="2" t="s">
        <v>24</v>
      </c>
      <c r="E60" s="2">
        <v>0</v>
      </c>
      <c r="F60" s="2">
        <v>0</v>
      </c>
      <c r="G60" s="2">
        <v>0</v>
      </c>
      <c r="H60" s="2">
        <v>1</v>
      </c>
      <c r="I60" s="2">
        <v>0</v>
      </c>
      <c r="J60" s="9">
        <f t="shared" si="5"/>
        <v>0</v>
      </c>
      <c r="K60" s="7">
        <f t="shared" si="15"/>
        <v>0.8</v>
      </c>
      <c r="L60" s="10">
        <v>10</v>
      </c>
      <c r="M60" s="13">
        <v>1</v>
      </c>
      <c r="N60" s="13">
        <v>0</v>
      </c>
      <c r="O60" s="13">
        <v>0</v>
      </c>
      <c r="P60" s="13">
        <v>1</v>
      </c>
      <c r="Q60" s="13">
        <v>0</v>
      </c>
      <c r="R60" s="13"/>
      <c r="S60">
        <f t="shared" si="10"/>
        <v>0</v>
      </c>
      <c r="T60">
        <f t="shared" si="11"/>
        <v>1</v>
      </c>
      <c r="U60">
        <f t="shared" si="12"/>
        <v>1</v>
      </c>
      <c r="V60">
        <f t="shared" si="13"/>
        <v>1</v>
      </c>
      <c r="W60">
        <f t="shared" si="14"/>
        <v>1</v>
      </c>
    </row>
    <row r="61" spans="1:23">
      <c r="A61" s="1">
        <v>4</v>
      </c>
      <c r="B61" s="2" t="s">
        <v>12</v>
      </c>
      <c r="C61" s="10">
        <v>11</v>
      </c>
      <c r="D61" s="2" t="s">
        <v>25</v>
      </c>
      <c r="E61" s="2">
        <v>0</v>
      </c>
      <c r="F61" s="2">
        <v>0</v>
      </c>
      <c r="G61" s="2">
        <v>0</v>
      </c>
      <c r="H61" s="2">
        <v>1</v>
      </c>
      <c r="I61" s="2">
        <v>0</v>
      </c>
      <c r="J61" s="9">
        <f t="shared" si="5"/>
        <v>0</v>
      </c>
      <c r="K61" s="7">
        <f t="shared" si="15"/>
        <v>0.6</v>
      </c>
      <c r="L61" s="10">
        <v>11</v>
      </c>
      <c r="M61" s="13">
        <v>1</v>
      </c>
      <c r="N61" s="13">
        <v>0</v>
      </c>
      <c r="O61" s="13">
        <v>0</v>
      </c>
      <c r="P61" s="13">
        <v>1</v>
      </c>
      <c r="Q61" s="13">
        <v>1</v>
      </c>
      <c r="R61" s="13"/>
      <c r="S61">
        <f t="shared" si="10"/>
        <v>0</v>
      </c>
      <c r="T61">
        <f t="shared" si="11"/>
        <v>1</v>
      </c>
      <c r="U61">
        <f t="shared" si="12"/>
        <v>1</v>
      </c>
      <c r="V61">
        <f t="shared" si="13"/>
        <v>1</v>
      </c>
      <c r="W61">
        <f t="shared" si="14"/>
        <v>0</v>
      </c>
    </row>
    <row r="62" spans="1:23" hidden="1">
      <c r="A62" s="1">
        <v>4</v>
      </c>
      <c r="B62" s="2" t="s">
        <v>12</v>
      </c>
      <c r="C62" s="10">
        <v>12</v>
      </c>
      <c r="D62" s="2" t="s">
        <v>26</v>
      </c>
      <c r="E62" s="2">
        <v>1</v>
      </c>
      <c r="F62" s="2">
        <v>0</v>
      </c>
      <c r="G62" s="2">
        <v>1</v>
      </c>
      <c r="H62" s="2">
        <v>0</v>
      </c>
      <c r="I62" s="2">
        <v>0</v>
      </c>
      <c r="J62" s="9">
        <f t="shared" si="5"/>
        <v>-3</v>
      </c>
      <c r="K62" s="7">
        <f t="shared" si="15"/>
        <v>1</v>
      </c>
      <c r="L62" s="10">
        <v>12</v>
      </c>
      <c r="M62" s="13">
        <v>1</v>
      </c>
      <c r="N62" s="13">
        <v>0</v>
      </c>
      <c r="O62" s="13">
        <v>1</v>
      </c>
      <c r="P62" s="13">
        <v>0</v>
      </c>
      <c r="Q62" s="13">
        <v>0</v>
      </c>
      <c r="R62" s="13"/>
      <c r="S62">
        <f t="shared" si="10"/>
        <v>1</v>
      </c>
      <c r="T62">
        <f t="shared" si="11"/>
        <v>1</v>
      </c>
      <c r="U62">
        <f t="shared" si="12"/>
        <v>1</v>
      </c>
      <c r="V62">
        <f t="shared" si="13"/>
        <v>1</v>
      </c>
      <c r="W62">
        <f t="shared" si="14"/>
        <v>1</v>
      </c>
    </row>
    <row r="63" spans="1:23" hidden="1">
      <c r="A63" s="1">
        <v>4</v>
      </c>
      <c r="B63" s="2" t="s">
        <v>12</v>
      </c>
      <c r="C63" s="10">
        <v>13</v>
      </c>
      <c r="D63" s="2" t="s">
        <v>27</v>
      </c>
      <c r="E63" s="2">
        <v>0</v>
      </c>
      <c r="F63" s="2">
        <v>0</v>
      </c>
      <c r="G63" s="2">
        <v>0</v>
      </c>
      <c r="H63" s="2">
        <v>1</v>
      </c>
      <c r="I63" s="2">
        <v>0</v>
      </c>
      <c r="J63" s="9">
        <f t="shared" si="5"/>
        <v>0</v>
      </c>
      <c r="K63" s="7">
        <f t="shared" si="15"/>
        <v>0.8</v>
      </c>
      <c r="L63" s="10">
        <v>13</v>
      </c>
      <c r="M63" s="13">
        <v>0</v>
      </c>
      <c r="N63" s="13">
        <v>0</v>
      </c>
      <c r="O63" s="13">
        <v>0</v>
      </c>
      <c r="P63" s="13">
        <v>1</v>
      </c>
      <c r="Q63" s="13">
        <v>1</v>
      </c>
      <c r="R63" s="13"/>
      <c r="S63">
        <f t="shared" si="10"/>
        <v>1</v>
      </c>
      <c r="T63">
        <f t="shared" si="11"/>
        <v>1</v>
      </c>
      <c r="U63">
        <f t="shared" si="12"/>
        <v>1</v>
      </c>
      <c r="V63">
        <f t="shared" si="13"/>
        <v>1</v>
      </c>
      <c r="W63">
        <f t="shared" si="14"/>
        <v>0</v>
      </c>
    </row>
    <row r="64" spans="1:23" hidden="1">
      <c r="A64" s="1">
        <v>4</v>
      </c>
      <c r="B64" s="2" t="s">
        <v>12</v>
      </c>
      <c r="C64" s="10">
        <v>14</v>
      </c>
      <c r="D64" s="2" t="s">
        <v>28</v>
      </c>
      <c r="E64" s="2">
        <v>1</v>
      </c>
      <c r="F64" s="2">
        <v>0</v>
      </c>
      <c r="G64" s="2">
        <v>1</v>
      </c>
      <c r="H64" s="2">
        <v>0</v>
      </c>
      <c r="I64" s="2">
        <v>0</v>
      </c>
      <c r="J64" s="9">
        <f t="shared" si="5"/>
        <v>-3</v>
      </c>
      <c r="K64" s="7">
        <f t="shared" si="15"/>
        <v>1</v>
      </c>
      <c r="L64" s="10">
        <v>14</v>
      </c>
      <c r="M64" s="13">
        <v>1</v>
      </c>
      <c r="N64" s="13">
        <v>0</v>
      </c>
      <c r="O64" s="13">
        <v>1</v>
      </c>
      <c r="P64" s="13">
        <v>0</v>
      </c>
      <c r="Q64" s="13">
        <v>0</v>
      </c>
      <c r="R64" s="13"/>
      <c r="S64">
        <f t="shared" si="10"/>
        <v>1</v>
      </c>
      <c r="T64">
        <f t="shared" si="11"/>
        <v>1</v>
      </c>
      <c r="U64">
        <f t="shared" si="12"/>
        <v>1</v>
      </c>
      <c r="V64">
        <f t="shared" si="13"/>
        <v>1</v>
      </c>
      <c r="W64">
        <f t="shared" si="14"/>
        <v>1</v>
      </c>
    </row>
    <row r="65" spans="1:23" hidden="1">
      <c r="A65" s="1">
        <v>4</v>
      </c>
      <c r="B65" s="2" t="s">
        <v>12</v>
      </c>
      <c r="C65" s="10">
        <v>15</v>
      </c>
      <c r="D65" s="2" t="s">
        <v>29</v>
      </c>
      <c r="E65" s="2">
        <v>0</v>
      </c>
      <c r="F65" s="2">
        <v>0</v>
      </c>
      <c r="G65" s="2">
        <v>0</v>
      </c>
      <c r="H65" s="2">
        <v>1</v>
      </c>
      <c r="I65" s="2">
        <v>0</v>
      </c>
      <c r="J65" s="9">
        <f t="shared" si="5"/>
        <v>0</v>
      </c>
      <c r="K65" s="7">
        <f t="shared" si="15"/>
        <v>0.6</v>
      </c>
      <c r="L65" s="10">
        <v>15</v>
      </c>
      <c r="M65" s="13">
        <v>1</v>
      </c>
      <c r="N65" s="13">
        <v>0</v>
      </c>
      <c r="O65" s="13">
        <v>1</v>
      </c>
      <c r="P65" s="13">
        <v>1</v>
      </c>
      <c r="Q65" s="13">
        <v>0</v>
      </c>
      <c r="R65" s="13"/>
      <c r="S65">
        <f t="shared" si="10"/>
        <v>0</v>
      </c>
      <c r="T65">
        <f t="shared" si="11"/>
        <v>1</v>
      </c>
      <c r="U65">
        <f t="shared" si="12"/>
        <v>0</v>
      </c>
      <c r="V65">
        <f t="shared" si="13"/>
        <v>1</v>
      </c>
      <c r="W65">
        <f t="shared" si="14"/>
        <v>1</v>
      </c>
    </row>
    <row r="66" spans="1:23" hidden="1">
      <c r="A66" s="1">
        <v>4</v>
      </c>
      <c r="B66" s="2" t="s">
        <v>30</v>
      </c>
      <c r="C66" s="10">
        <v>16</v>
      </c>
      <c r="D66" s="2" t="s">
        <v>31</v>
      </c>
      <c r="E66" s="2">
        <v>1</v>
      </c>
      <c r="F66" s="2">
        <v>0</v>
      </c>
      <c r="G66" s="2">
        <v>1</v>
      </c>
      <c r="H66" s="2">
        <v>0</v>
      </c>
      <c r="I66" s="2">
        <v>1</v>
      </c>
      <c r="J66" s="9">
        <f t="shared" si="5"/>
        <v>-1</v>
      </c>
      <c r="K66" s="7">
        <f t="shared" si="15"/>
        <v>1</v>
      </c>
      <c r="L66" s="10">
        <v>16</v>
      </c>
      <c r="M66" s="13">
        <v>1</v>
      </c>
      <c r="N66" s="13">
        <v>0</v>
      </c>
      <c r="O66" s="13">
        <v>1</v>
      </c>
      <c r="P66" s="13">
        <v>0</v>
      </c>
      <c r="Q66" s="13">
        <v>1</v>
      </c>
      <c r="R66" s="13"/>
      <c r="S66">
        <f t="shared" si="10"/>
        <v>1</v>
      </c>
      <c r="T66">
        <f t="shared" si="11"/>
        <v>1</v>
      </c>
      <c r="U66">
        <f t="shared" si="12"/>
        <v>1</v>
      </c>
      <c r="V66">
        <f t="shared" si="13"/>
        <v>1</v>
      </c>
      <c r="W66">
        <f t="shared" si="14"/>
        <v>1</v>
      </c>
    </row>
    <row r="67" spans="1:23" hidden="1">
      <c r="A67" s="1">
        <v>5</v>
      </c>
      <c r="B67" s="2" t="s">
        <v>12</v>
      </c>
      <c r="C67" s="10">
        <v>1</v>
      </c>
      <c r="D67" s="2" t="s">
        <v>32</v>
      </c>
      <c r="E67" s="2">
        <v>1</v>
      </c>
      <c r="F67" s="2">
        <v>0</v>
      </c>
      <c r="G67" s="2">
        <v>1</v>
      </c>
      <c r="H67" s="2">
        <v>0</v>
      </c>
      <c r="I67" s="2">
        <v>0</v>
      </c>
      <c r="J67" s="9">
        <f t="shared" si="5"/>
        <v>-3</v>
      </c>
      <c r="K67" s="7">
        <f t="shared" si="15"/>
        <v>1</v>
      </c>
      <c r="L67" s="10">
        <v>1</v>
      </c>
      <c r="M67" s="13">
        <v>1</v>
      </c>
      <c r="N67" s="13">
        <v>0</v>
      </c>
      <c r="O67" s="13">
        <v>1</v>
      </c>
      <c r="P67" s="13">
        <v>0</v>
      </c>
      <c r="Q67" s="13">
        <v>0</v>
      </c>
      <c r="R67" s="13"/>
      <c r="S67">
        <f t="shared" ref="S67:S98" si="16">IF(E67=M67, 1, 0)</f>
        <v>1</v>
      </c>
      <c r="T67">
        <f t="shared" ref="T67:T98" si="17">IF(F67=N67, 1, 0)</f>
        <v>1</v>
      </c>
      <c r="U67">
        <f t="shared" ref="U67:U98" si="18">IF(G67=O67, 1, 0)</f>
        <v>1</v>
      </c>
      <c r="V67">
        <f t="shared" ref="V67:V98" si="19">IF(H67=P67, 1, 0)</f>
        <v>1</v>
      </c>
      <c r="W67">
        <f t="shared" ref="W67:W98" si="20">IF(I67=Q67, 1, 0)</f>
        <v>1</v>
      </c>
    </row>
    <row r="68" spans="1:23" hidden="1">
      <c r="A68" s="1">
        <v>5</v>
      </c>
      <c r="B68" s="2" t="s">
        <v>12</v>
      </c>
      <c r="C68" s="10">
        <v>2</v>
      </c>
      <c r="D68" s="2" t="s">
        <v>16</v>
      </c>
      <c r="E68" s="2">
        <v>0</v>
      </c>
      <c r="F68" s="2">
        <v>0</v>
      </c>
      <c r="G68" s="2">
        <v>0</v>
      </c>
      <c r="H68" s="2">
        <v>1</v>
      </c>
      <c r="I68" s="2">
        <v>0</v>
      </c>
      <c r="J68" s="9">
        <f t="shared" ref="J68:J131" si="21">IF(OR(C68=1,C68=3,C68=5,C68=7,C68=9,C68=12,C68=14),-3,IF(OR(C68=2,C68=4,C68=6,C68=8,C68=10,C68=11,C68=13,C68=15),0,-1))</f>
        <v>0</v>
      </c>
      <c r="K68" s="7">
        <f t="shared" si="15"/>
        <v>0.6</v>
      </c>
      <c r="L68" s="10">
        <v>2</v>
      </c>
      <c r="M68" s="13">
        <v>1</v>
      </c>
      <c r="N68" s="13">
        <v>0</v>
      </c>
      <c r="O68" s="13">
        <v>1</v>
      </c>
      <c r="P68" s="13">
        <v>1</v>
      </c>
      <c r="Q68" s="13">
        <v>0</v>
      </c>
      <c r="R68" s="13"/>
      <c r="S68">
        <f t="shared" si="16"/>
        <v>0</v>
      </c>
      <c r="T68">
        <f t="shared" si="17"/>
        <v>1</v>
      </c>
      <c r="U68">
        <f t="shared" si="18"/>
        <v>0</v>
      </c>
      <c r="V68">
        <f t="shared" si="19"/>
        <v>1</v>
      </c>
      <c r="W68">
        <f t="shared" si="20"/>
        <v>1</v>
      </c>
    </row>
    <row r="69" spans="1:23" hidden="1">
      <c r="A69" s="1">
        <v>5</v>
      </c>
      <c r="B69" s="2" t="s">
        <v>12</v>
      </c>
      <c r="C69" s="10">
        <v>3</v>
      </c>
      <c r="D69" s="2" t="s">
        <v>17</v>
      </c>
      <c r="E69" s="2">
        <v>1</v>
      </c>
      <c r="F69" s="2">
        <v>0</v>
      </c>
      <c r="G69" s="2">
        <v>1</v>
      </c>
      <c r="H69" s="2">
        <v>0</v>
      </c>
      <c r="I69" s="2">
        <v>0</v>
      </c>
      <c r="J69" s="9">
        <f t="shared" si="21"/>
        <v>-3</v>
      </c>
      <c r="K69" s="7">
        <f t="shared" ref="K69:K100" si="22">SUM(IF(E69=M69,1,0),IF(F69=N69,1,0),IF(G69=O69,1,0),IF(H69=P69,1,0),IF(I69=Q69,1,0),J69)/IF(OR(C69=1,C69=3,C69=5,C69=7,C69=9,C69=12,C69=14),2,IF(OR(C69=2,C69=4,C69=6,C69=8,C69=10,C69=11,C69=13,C69=15),5,4))</f>
        <v>1</v>
      </c>
      <c r="L69" s="10">
        <v>3</v>
      </c>
      <c r="M69" s="13">
        <v>1</v>
      </c>
      <c r="N69" s="13">
        <v>0</v>
      </c>
      <c r="O69" s="13">
        <v>1</v>
      </c>
      <c r="P69" s="13">
        <v>0</v>
      </c>
      <c r="Q69" s="13">
        <v>0</v>
      </c>
      <c r="R69" s="13"/>
      <c r="S69">
        <f t="shared" si="16"/>
        <v>1</v>
      </c>
      <c r="T69">
        <f t="shared" si="17"/>
        <v>1</v>
      </c>
      <c r="U69">
        <f t="shared" si="18"/>
        <v>1</v>
      </c>
      <c r="V69">
        <f t="shared" si="19"/>
        <v>1</v>
      </c>
      <c r="W69">
        <f t="shared" si="20"/>
        <v>1</v>
      </c>
    </row>
    <row r="70" spans="1:23" hidden="1">
      <c r="A70" s="1">
        <v>5</v>
      </c>
      <c r="B70" s="2" t="s">
        <v>12</v>
      </c>
      <c r="C70" s="10">
        <v>4</v>
      </c>
      <c r="D70" s="2" t="s">
        <v>18</v>
      </c>
      <c r="E70" s="2">
        <v>0</v>
      </c>
      <c r="F70" s="2">
        <v>0</v>
      </c>
      <c r="G70" s="2">
        <v>0</v>
      </c>
      <c r="H70" s="2">
        <v>0</v>
      </c>
      <c r="I70" s="2">
        <v>1</v>
      </c>
      <c r="J70" s="9">
        <f t="shared" si="21"/>
        <v>0</v>
      </c>
      <c r="K70" s="7">
        <f t="shared" si="22"/>
        <v>0.6</v>
      </c>
      <c r="L70" s="10">
        <v>4</v>
      </c>
      <c r="M70" s="13">
        <v>0</v>
      </c>
      <c r="N70" s="13">
        <v>0</v>
      </c>
      <c r="O70" s="13">
        <v>0</v>
      </c>
      <c r="P70" s="13">
        <v>1</v>
      </c>
      <c r="Q70" s="13">
        <v>0</v>
      </c>
      <c r="R70" s="13"/>
      <c r="S70">
        <f t="shared" si="16"/>
        <v>1</v>
      </c>
      <c r="T70">
        <f t="shared" si="17"/>
        <v>1</v>
      </c>
      <c r="U70">
        <f t="shared" si="18"/>
        <v>1</v>
      </c>
      <c r="V70">
        <f t="shared" si="19"/>
        <v>0</v>
      </c>
      <c r="W70">
        <f t="shared" si="20"/>
        <v>0</v>
      </c>
    </row>
    <row r="71" spans="1:23" hidden="1">
      <c r="A71" s="1">
        <v>5</v>
      </c>
      <c r="B71" s="2" t="s">
        <v>12</v>
      </c>
      <c r="C71" s="10">
        <v>5</v>
      </c>
      <c r="D71" s="2" t="s">
        <v>19</v>
      </c>
      <c r="E71" s="2">
        <v>1</v>
      </c>
      <c r="F71" s="2">
        <v>0</v>
      </c>
      <c r="G71" s="2">
        <v>1</v>
      </c>
      <c r="H71" s="2">
        <v>0</v>
      </c>
      <c r="I71" s="2">
        <v>0</v>
      </c>
      <c r="J71" s="9">
        <f t="shared" si="21"/>
        <v>-3</v>
      </c>
      <c r="K71" s="7">
        <f t="shared" si="22"/>
        <v>1</v>
      </c>
      <c r="L71" s="10">
        <v>5</v>
      </c>
      <c r="M71" s="13">
        <v>1</v>
      </c>
      <c r="N71" s="13">
        <v>0</v>
      </c>
      <c r="O71" s="13">
        <v>1</v>
      </c>
      <c r="P71" s="13">
        <v>0</v>
      </c>
      <c r="Q71" s="13">
        <v>0</v>
      </c>
      <c r="R71" s="13"/>
      <c r="S71">
        <f t="shared" si="16"/>
        <v>1</v>
      </c>
      <c r="T71">
        <f t="shared" si="17"/>
        <v>1</v>
      </c>
      <c r="U71">
        <f t="shared" si="18"/>
        <v>1</v>
      </c>
      <c r="V71">
        <f t="shared" si="19"/>
        <v>1</v>
      </c>
      <c r="W71">
        <f t="shared" si="20"/>
        <v>1</v>
      </c>
    </row>
    <row r="72" spans="1:23" hidden="1">
      <c r="A72" s="1">
        <v>5</v>
      </c>
      <c r="B72" s="2" t="s">
        <v>12</v>
      </c>
      <c r="C72" s="10">
        <v>6</v>
      </c>
      <c r="D72" s="2" t="s">
        <v>20</v>
      </c>
      <c r="E72" s="2">
        <v>0</v>
      </c>
      <c r="F72" s="2">
        <v>0</v>
      </c>
      <c r="G72" s="2">
        <v>0</v>
      </c>
      <c r="H72" s="2">
        <v>1</v>
      </c>
      <c r="I72" s="2">
        <v>0</v>
      </c>
      <c r="J72" s="9">
        <f t="shared" si="21"/>
        <v>0</v>
      </c>
      <c r="K72" s="7">
        <f t="shared" si="22"/>
        <v>0.8</v>
      </c>
      <c r="L72" s="10">
        <v>6</v>
      </c>
      <c r="M72" s="13">
        <v>1</v>
      </c>
      <c r="N72" s="13">
        <v>0</v>
      </c>
      <c r="O72" s="13">
        <v>0</v>
      </c>
      <c r="P72" s="13">
        <v>1</v>
      </c>
      <c r="Q72" s="13">
        <v>0</v>
      </c>
      <c r="R72" s="13"/>
      <c r="S72">
        <f t="shared" si="16"/>
        <v>0</v>
      </c>
      <c r="T72">
        <f t="shared" si="17"/>
        <v>1</v>
      </c>
      <c r="U72">
        <f t="shared" si="18"/>
        <v>1</v>
      </c>
      <c r="V72">
        <f t="shared" si="19"/>
        <v>1</v>
      </c>
      <c r="W72">
        <f t="shared" si="20"/>
        <v>1</v>
      </c>
    </row>
    <row r="73" spans="1:23" hidden="1">
      <c r="A73" s="1">
        <v>5</v>
      </c>
      <c r="B73" s="2" t="s">
        <v>12</v>
      </c>
      <c r="C73" s="10">
        <v>7</v>
      </c>
      <c r="D73" s="2" t="s">
        <v>21</v>
      </c>
      <c r="E73" s="2">
        <v>1</v>
      </c>
      <c r="F73" s="2">
        <v>0</v>
      </c>
      <c r="G73" s="2">
        <v>1</v>
      </c>
      <c r="H73" s="2">
        <v>0</v>
      </c>
      <c r="I73" s="2">
        <v>0</v>
      </c>
      <c r="J73" s="9">
        <f t="shared" si="21"/>
        <v>-3</v>
      </c>
      <c r="K73" s="7">
        <f t="shared" si="22"/>
        <v>1</v>
      </c>
      <c r="L73" s="10">
        <v>7</v>
      </c>
      <c r="M73" s="13">
        <v>1</v>
      </c>
      <c r="N73" s="13">
        <v>0</v>
      </c>
      <c r="O73" s="13">
        <v>1</v>
      </c>
      <c r="P73" s="13">
        <v>0</v>
      </c>
      <c r="Q73" s="13">
        <v>0</v>
      </c>
      <c r="R73" s="13"/>
      <c r="S73">
        <f t="shared" si="16"/>
        <v>1</v>
      </c>
      <c r="T73">
        <f t="shared" si="17"/>
        <v>1</v>
      </c>
      <c r="U73">
        <f t="shared" si="18"/>
        <v>1</v>
      </c>
      <c r="V73">
        <f t="shared" si="19"/>
        <v>1</v>
      </c>
      <c r="W73">
        <f t="shared" si="20"/>
        <v>1</v>
      </c>
    </row>
    <row r="74" spans="1:23" hidden="1">
      <c r="A74" s="1">
        <v>5</v>
      </c>
      <c r="B74" s="2" t="s">
        <v>12</v>
      </c>
      <c r="C74" s="10">
        <v>8</v>
      </c>
      <c r="D74" s="2" t="s">
        <v>22</v>
      </c>
      <c r="E74" s="2">
        <v>0</v>
      </c>
      <c r="F74" s="2">
        <v>0</v>
      </c>
      <c r="G74" s="2">
        <v>0</v>
      </c>
      <c r="H74" s="2">
        <v>1</v>
      </c>
      <c r="I74" s="2">
        <v>0</v>
      </c>
      <c r="J74" s="9">
        <f t="shared" si="21"/>
        <v>0</v>
      </c>
      <c r="K74" s="7">
        <f t="shared" si="22"/>
        <v>0.6</v>
      </c>
      <c r="L74" s="10">
        <v>8</v>
      </c>
      <c r="M74" s="13">
        <v>1</v>
      </c>
      <c r="N74" s="13">
        <v>0</v>
      </c>
      <c r="O74" s="13">
        <v>0</v>
      </c>
      <c r="P74" s="13">
        <v>1</v>
      </c>
      <c r="Q74" s="13">
        <v>1</v>
      </c>
      <c r="R74" s="13"/>
      <c r="S74">
        <f t="shared" si="16"/>
        <v>0</v>
      </c>
      <c r="T74">
        <f t="shared" si="17"/>
        <v>1</v>
      </c>
      <c r="U74">
        <f t="shared" si="18"/>
        <v>1</v>
      </c>
      <c r="V74">
        <f t="shared" si="19"/>
        <v>1</v>
      </c>
      <c r="W74">
        <f t="shared" si="20"/>
        <v>0</v>
      </c>
    </row>
    <row r="75" spans="1:23" hidden="1">
      <c r="A75" s="1">
        <v>5</v>
      </c>
      <c r="B75" s="2" t="s">
        <v>12</v>
      </c>
      <c r="C75" s="10">
        <v>9</v>
      </c>
      <c r="D75" s="2" t="s">
        <v>23</v>
      </c>
      <c r="E75" s="2">
        <v>1</v>
      </c>
      <c r="F75" s="2">
        <v>0</v>
      </c>
      <c r="G75" s="2">
        <v>1</v>
      </c>
      <c r="H75" s="2">
        <v>0</v>
      </c>
      <c r="I75" s="2">
        <v>0</v>
      </c>
      <c r="J75" s="9">
        <f t="shared" si="21"/>
        <v>-3</v>
      </c>
      <c r="K75" s="7">
        <f t="shared" si="22"/>
        <v>1</v>
      </c>
      <c r="L75" s="10">
        <v>9</v>
      </c>
      <c r="M75" s="13">
        <v>1</v>
      </c>
      <c r="N75" s="13">
        <v>0</v>
      </c>
      <c r="O75" s="13">
        <v>1</v>
      </c>
      <c r="P75" s="13">
        <v>0</v>
      </c>
      <c r="Q75" s="13">
        <v>0</v>
      </c>
      <c r="R75" s="13"/>
      <c r="S75">
        <f t="shared" si="16"/>
        <v>1</v>
      </c>
      <c r="T75">
        <f t="shared" si="17"/>
        <v>1</v>
      </c>
      <c r="U75">
        <f t="shared" si="18"/>
        <v>1</v>
      </c>
      <c r="V75">
        <f t="shared" si="19"/>
        <v>1</v>
      </c>
      <c r="W75">
        <f t="shared" si="20"/>
        <v>1</v>
      </c>
    </row>
    <row r="76" spans="1:23" hidden="1">
      <c r="A76" s="1">
        <v>5</v>
      </c>
      <c r="B76" s="2" t="s">
        <v>12</v>
      </c>
      <c r="C76" s="10">
        <v>10</v>
      </c>
      <c r="D76" s="2" t="s">
        <v>24</v>
      </c>
      <c r="E76" s="2">
        <v>0</v>
      </c>
      <c r="F76" s="2">
        <v>0</v>
      </c>
      <c r="G76" s="2">
        <v>0</v>
      </c>
      <c r="H76" s="2">
        <v>1</v>
      </c>
      <c r="I76" s="2">
        <v>0</v>
      </c>
      <c r="J76" s="9">
        <f t="shared" si="21"/>
        <v>0</v>
      </c>
      <c r="K76" s="7">
        <f t="shared" si="22"/>
        <v>1</v>
      </c>
      <c r="L76" s="10">
        <v>10</v>
      </c>
      <c r="M76" s="13">
        <v>0</v>
      </c>
      <c r="N76" s="13">
        <v>0</v>
      </c>
      <c r="O76" s="13">
        <v>0</v>
      </c>
      <c r="P76" s="13">
        <v>1</v>
      </c>
      <c r="Q76" s="13">
        <v>0</v>
      </c>
      <c r="R76" s="13"/>
      <c r="S76">
        <f t="shared" si="16"/>
        <v>1</v>
      </c>
      <c r="T76">
        <f t="shared" si="17"/>
        <v>1</v>
      </c>
      <c r="U76">
        <f t="shared" si="18"/>
        <v>1</v>
      </c>
      <c r="V76">
        <f t="shared" si="19"/>
        <v>1</v>
      </c>
      <c r="W76">
        <f t="shared" si="20"/>
        <v>1</v>
      </c>
    </row>
    <row r="77" spans="1:23">
      <c r="A77" s="1">
        <v>5</v>
      </c>
      <c r="B77" s="2" t="s">
        <v>12</v>
      </c>
      <c r="C77" s="10">
        <v>11</v>
      </c>
      <c r="D77" s="2" t="s">
        <v>25</v>
      </c>
      <c r="E77" s="2">
        <v>0</v>
      </c>
      <c r="F77" s="2">
        <v>0</v>
      </c>
      <c r="G77" s="2">
        <v>0</v>
      </c>
      <c r="H77" s="2">
        <v>1</v>
      </c>
      <c r="I77" s="2">
        <v>0</v>
      </c>
      <c r="J77" s="9">
        <f t="shared" si="21"/>
        <v>0</v>
      </c>
      <c r="K77" s="7">
        <f t="shared" si="22"/>
        <v>1</v>
      </c>
      <c r="L77" s="10">
        <v>11</v>
      </c>
      <c r="M77" s="13">
        <v>0</v>
      </c>
      <c r="N77" s="13">
        <v>0</v>
      </c>
      <c r="O77" s="13">
        <v>0</v>
      </c>
      <c r="P77" s="13">
        <v>1</v>
      </c>
      <c r="Q77" s="13">
        <v>0</v>
      </c>
      <c r="R77" s="13"/>
      <c r="S77">
        <f t="shared" si="16"/>
        <v>1</v>
      </c>
      <c r="T77">
        <f t="shared" si="17"/>
        <v>1</v>
      </c>
      <c r="U77">
        <f t="shared" si="18"/>
        <v>1</v>
      </c>
      <c r="V77">
        <f t="shared" si="19"/>
        <v>1</v>
      </c>
      <c r="W77">
        <f t="shared" si="20"/>
        <v>1</v>
      </c>
    </row>
    <row r="78" spans="1:23" hidden="1">
      <c r="A78" s="1">
        <v>5</v>
      </c>
      <c r="B78" s="2" t="s">
        <v>12</v>
      </c>
      <c r="C78" s="10">
        <v>12</v>
      </c>
      <c r="D78" s="2" t="s">
        <v>26</v>
      </c>
      <c r="E78" s="2">
        <v>1</v>
      </c>
      <c r="F78" s="2">
        <v>0</v>
      </c>
      <c r="G78" s="2">
        <v>1</v>
      </c>
      <c r="H78" s="2">
        <v>0</v>
      </c>
      <c r="I78" s="2">
        <v>0</v>
      </c>
      <c r="J78" s="9">
        <f t="shared" si="21"/>
        <v>-3</v>
      </c>
      <c r="K78" s="7">
        <f t="shared" si="22"/>
        <v>1</v>
      </c>
      <c r="L78" s="10">
        <v>12</v>
      </c>
      <c r="M78" s="13">
        <v>1</v>
      </c>
      <c r="N78" s="13">
        <v>0</v>
      </c>
      <c r="O78" s="13">
        <v>1</v>
      </c>
      <c r="P78" s="13">
        <v>0</v>
      </c>
      <c r="Q78" s="13">
        <v>0</v>
      </c>
      <c r="R78" s="13"/>
      <c r="S78">
        <f t="shared" si="16"/>
        <v>1</v>
      </c>
      <c r="T78">
        <f t="shared" si="17"/>
        <v>1</v>
      </c>
      <c r="U78">
        <f t="shared" si="18"/>
        <v>1</v>
      </c>
      <c r="V78">
        <f t="shared" si="19"/>
        <v>1</v>
      </c>
      <c r="W78">
        <f t="shared" si="20"/>
        <v>1</v>
      </c>
    </row>
    <row r="79" spans="1:23" hidden="1">
      <c r="A79" s="1">
        <v>5</v>
      </c>
      <c r="B79" s="2" t="s">
        <v>12</v>
      </c>
      <c r="C79" s="10">
        <v>13</v>
      </c>
      <c r="D79" s="2" t="s">
        <v>27</v>
      </c>
      <c r="E79" s="2">
        <v>1</v>
      </c>
      <c r="F79" s="2">
        <v>0</v>
      </c>
      <c r="G79" s="2">
        <v>1</v>
      </c>
      <c r="H79" s="2">
        <v>1</v>
      </c>
      <c r="I79" s="2">
        <v>1</v>
      </c>
      <c r="J79" s="9">
        <f t="shared" si="21"/>
        <v>0</v>
      </c>
      <c r="K79" s="7">
        <f t="shared" si="22"/>
        <v>0.8</v>
      </c>
      <c r="L79" s="10">
        <v>13</v>
      </c>
      <c r="M79" s="13">
        <v>1</v>
      </c>
      <c r="N79" s="13">
        <v>0</v>
      </c>
      <c r="O79" s="13">
        <v>0</v>
      </c>
      <c r="P79" s="13">
        <v>1</v>
      </c>
      <c r="Q79" s="13">
        <v>1</v>
      </c>
      <c r="R79" s="13"/>
      <c r="S79">
        <f t="shared" si="16"/>
        <v>1</v>
      </c>
      <c r="T79">
        <f t="shared" si="17"/>
        <v>1</v>
      </c>
      <c r="U79">
        <f t="shared" si="18"/>
        <v>0</v>
      </c>
      <c r="V79">
        <f t="shared" si="19"/>
        <v>1</v>
      </c>
      <c r="W79">
        <f t="shared" si="20"/>
        <v>1</v>
      </c>
    </row>
    <row r="80" spans="1:23">
      <c r="A80" s="1">
        <v>5</v>
      </c>
      <c r="B80" s="2" t="s">
        <v>12</v>
      </c>
      <c r="C80" s="10">
        <v>14</v>
      </c>
      <c r="D80" s="2" t="s">
        <v>28</v>
      </c>
      <c r="E80" s="2">
        <v>1</v>
      </c>
      <c r="F80" s="2">
        <v>0</v>
      </c>
      <c r="G80" s="2">
        <v>0</v>
      </c>
      <c r="H80" s="2">
        <v>0</v>
      </c>
      <c r="I80" s="2">
        <v>0</v>
      </c>
      <c r="J80" s="9">
        <f t="shared" si="21"/>
        <v>-3</v>
      </c>
      <c r="K80" s="7">
        <f t="shared" si="22"/>
        <v>0.5</v>
      </c>
      <c r="L80" s="10">
        <v>14</v>
      </c>
      <c r="M80" s="13">
        <v>1</v>
      </c>
      <c r="N80" s="13">
        <v>0</v>
      </c>
      <c r="O80" s="13">
        <v>1</v>
      </c>
      <c r="P80" s="13">
        <v>0</v>
      </c>
      <c r="Q80" s="13">
        <v>0</v>
      </c>
      <c r="R80" s="13"/>
      <c r="S80">
        <f t="shared" si="16"/>
        <v>1</v>
      </c>
      <c r="T80">
        <f t="shared" si="17"/>
        <v>1</v>
      </c>
      <c r="U80">
        <f t="shared" si="18"/>
        <v>0</v>
      </c>
      <c r="V80">
        <f t="shared" si="19"/>
        <v>1</v>
      </c>
      <c r="W80">
        <f t="shared" si="20"/>
        <v>1</v>
      </c>
    </row>
    <row r="81" spans="1:23" hidden="1">
      <c r="A81" s="1">
        <v>5</v>
      </c>
      <c r="B81" s="2" t="s">
        <v>12</v>
      </c>
      <c r="C81" s="10">
        <v>15</v>
      </c>
      <c r="D81" s="2" t="s">
        <v>29</v>
      </c>
      <c r="E81" s="2">
        <v>0</v>
      </c>
      <c r="F81" s="2">
        <v>0</v>
      </c>
      <c r="G81" s="2">
        <v>0</v>
      </c>
      <c r="H81" s="2">
        <v>1</v>
      </c>
      <c r="I81" s="2">
        <v>0</v>
      </c>
      <c r="J81" s="9">
        <f t="shared" si="21"/>
        <v>0</v>
      </c>
      <c r="K81" s="7">
        <f t="shared" si="22"/>
        <v>0.6</v>
      </c>
      <c r="L81" s="10">
        <v>15</v>
      </c>
      <c r="M81" s="13">
        <v>1</v>
      </c>
      <c r="N81" s="13">
        <v>0</v>
      </c>
      <c r="O81" s="13">
        <v>0</v>
      </c>
      <c r="P81" s="13">
        <v>1</v>
      </c>
      <c r="Q81" s="13">
        <v>1</v>
      </c>
      <c r="R81" s="13"/>
      <c r="S81">
        <f t="shared" si="16"/>
        <v>0</v>
      </c>
      <c r="T81">
        <f t="shared" si="17"/>
        <v>1</v>
      </c>
      <c r="U81">
        <f t="shared" si="18"/>
        <v>1</v>
      </c>
      <c r="V81">
        <f t="shared" si="19"/>
        <v>1</v>
      </c>
      <c r="W81">
        <f t="shared" si="20"/>
        <v>0</v>
      </c>
    </row>
    <row r="82" spans="1:23" hidden="1">
      <c r="A82" s="1">
        <v>5</v>
      </c>
      <c r="B82" s="2" t="s">
        <v>30</v>
      </c>
      <c r="C82" s="10">
        <v>16</v>
      </c>
      <c r="D82" s="2" t="s">
        <v>31</v>
      </c>
      <c r="E82" s="2">
        <v>1</v>
      </c>
      <c r="F82" s="2">
        <v>1</v>
      </c>
      <c r="G82" s="2">
        <v>1</v>
      </c>
      <c r="H82" s="2">
        <v>0</v>
      </c>
      <c r="I82" s="2">
        <v>1</v>
      </c>
      <c r="J82" s="9">
        <f t="shared" si="21"/>
        <v>-1</v>
      </c>
      <c r="K82" s="7">
        <f t="shared" si="22"/>
        <v>0.75</v>
      </c>
      <c r="L82" s="10">
        <v>16</v>
      </c>
      <c r="M82" s="13">
        <v>1</v>
      </c>
      <c r="N82" s="13">
        <v>0</v>
      </c>
      <c r="O82" s="13">
        <v>1</v>
      </c>
      <c r="P82" s="13">
        <v>0</v>
      </c>
      <c r="Q82" s="13">
        <v>1</v>
      </c>
      <c r="R82" s="13"/>
      <c r="S82">
        <f t="shared" si="16"/>
        <v>1</v>
      </c>
      <c r="T82">
        <f t="shared" si="17"/>
        <v>0</v>
      </c>
      <c r="U82">
        <f t="shared" si="18"/>
        <v>1</v>
      </c>
      <c r="V82">
        <f t="shared" si="19"/>
        <v>1</v>
      </c>
      <c r="W82">
        <f t="shared" si="20"/>
        <v>1</v>
      </c>
    </row>
    <row r="83" spans="1:23" hidden="1">
      <c r="A83" s="1">
        <v>6</v>
      </c>
      <c r="B83" s="2" t="s">
        <v>12</v>
      </c>
      <c r="C83" s="10">
        <v>1</v>
      </c>
      <c r="D83" s="2" t="s">
        <v>32</v>
      </c>
      <c r="E83" s="2">
        <v>1</v>
      </c>
      <c r="F83" s="2">
        <v>0</v>
      </c>
      <c r="G83" s="2">
        <v>1</v>
      </c>
      <c r="H83" s="2">
        <v>0</v>
      </c>
      <c r="I83" s="2">
        <v>0</v>
      </c>
      <c r="J83" s="9">
        <f t="shared" si="21"/>
        <v>-3</v>
      </c>
      <c r="K83" s="7">
        <f t="shared" si="22"/>
        <v>1</v>
      </c>
      <c r="L83" s="10">
        <v>1</v>
      </c>
      <c r="M83" s="13">
        <v>1</v>
      </c>
      <c r="N83" s="13">
        <v>0</v>
      </c>
      <c r="O83" s="13">
        <v>1</v>
      </c>
      <c r="P83" s="13">
        <v>0</v>
      </c>
      <c r="Q83" s="13">
        <v>0</v>
      </c>
      <c r="R83" s="13"/>
      <c r="S83">
        <f t="shared" si="16"/>
        <v>1</v>
      </c>
      <c r="T83">
        <f t="shared" si="17"/>
        <v>1</v>
      </c>
      <c r="U83">
        <f t="shared" si="18"/>
        <v>1</v>
      </c>
      <c r="V83">
        <f t="shared" si="19"/>
        <v>1</v>
      </c>
      <c r="W83">
        <f t="shared" si="20"/>
        <v>1</v>
      </c>
    </row>
    <row r="84" spans="1:23" hidden="1">
      <c r="A84" s="1">
        <v>6</v>
      </c>
      <c r="B84" s="2" t="s">
        <v>12</v>
      </c>
      <c r="C84" s="10">
        <v>2</v>
      </c>
      <c r="D84" s="2" t="s">
        <v>16</v>
      </c>
      <c r="E84" s="2">
        <v>1</v>
      </c>
      <c r="F84" s="2">
        <v>1</v>
      </c>
      <c r="G84" s="2">
        <v>0</v>
      </c>
      <c r="H84" s="2">
        <v>1</v>
      </c>
      <c r="I84" s="2">
        <v>0</v>
      </c>
      <c r="J84" s="9">
        <f t="shared" si="21"/>
        <v>0</v>
      </c>
      <c r="K84" s="7">
        <f t="shared" si="22"/>
        <v>0.6</v>
      </c>
      <c r="L84" s="10">
        <v>2</v>
      </c>
      <c r="M84" s="13">
        <v>1</v>
      </c>
      <c r="N84" s="13">
        <v>0</v>
      </c>
      <c r="O84" s="13">
        <v>1</v>
      </c>
      <c r="P84" s="13">
        <v>1</v>
      </c>
      <c r="Q84" s="13">
        <v>0</v>
      </c>
      <c r="R84" s="13"/>
      <c r="S84">
        <f t="shared" si="16"/>
        <v>1</v>
      </c>
      <c r="T84">
        <f t="shared" si="17"/>
        <v>0</v>
      </c>
      <c r="U84">
        <f t="shared" si="18"/>
        <v>0</v>
      </c>
      <c r="V84">
        <f t="shared" si="19"/>
        <v>1</v>
      </c>
      <c r="W84">
        <f t="shared" si="20"/>
        <v>1</v>
      </c>
    </row>
    <row r="85" spans="1:23" hidden="1">
      <c r="A85" s="1">
        <v>6</v>
      </c>
      <c r="B85" s="2" t="s">
        <v>12</v>
      </c>
      <c r="C85" s="10">
        <v>3</v>
      </c>
      <c r="D85" s="2" t="s">
        <v>17</v>
      </c>
      <c r="E85" s="2">
        <v>1</v>
      </c>
      <c r="F85" s="2">
        <v>0</v>
      </c>
      <c r="G85" s="2">
        <v>1</v>
      </c>
      <c r="H85" s="2">
        <v>0</v>
      </c>
      <c r="I85" s="2">
        <v>0</v>
      </c>
      <c r="J85" s="9">
        <f t="shared" si="21"/>
        <v>-3</v>
      </c>
      <c r="K85" s="7">
        <f t="shared" si="22"/>
        <v>1</v>
      </c>
      <c r="L85" s="10">
        <v>3</v>
      </c>
      <c r="M85" s="13">
        <v>1</v>
      </c>
      <c r="N85" s="13">
        <v>0</v>
      </c>
      <c r="O85" s="13">
        <v>1</v>
      </c>
      <c r="P85" s="13">
        <v>0</v>
      </c>
      <c r="Q85" s="13">
        <v>0</v>
      </c>
      <c r="R85" s="13"/>
      <c r="S85">
        <f t="shared" si="16"/>
        <v>1</v>
      </c>
      <c r="T85">
        <f t="shared" si="17"/>
        <v>1</v>
      </c>
      <c r="U85">
        <f t="shared" si="18"/>
        <v>1</v>
      </c>
      <c r="V85">
        <f t="shared" si="19"/>
        <v>1</v>
      </c>
      <c r="W85">
        <f t="shared" si="20"/>
        <v>1</v>
      </c>
    </row>
    <row r="86" spans="1:23" hidden="1">
      <c r="A86" s="1">
        <v>6</v>
      </c>
      <c r="B86" s="2" t="s">
        <v>12</v>
      </c>
      <c r="C86" s="10">
        <v>4</v>
      </c>
      <c r="D86" s="2" t="s">
        <v>18</v>
      </c>
      <c r="E86" s="2">
        <v>1</v>
      </c>
      <c r="F86" s="2">
        <v>0</v>
      </c>
      <c r="G86" s="2">
        <v>0</v>
      </c>
      <c r="H86" s="2">
        <v>1</v>
      </c>
      <c r="I86" s="2">
        <v>0</v>
      </c>
      <c r="J86" s="9">
        <f t="shared" si="21"/>
        <v>0</v>
      </c>
      <c r="K86" s="7">
        <f t="shared" si="22"/>
        <v>0.2</v>
      </c>
      <c r="L86" s="10">
        <v>4</v>
      </c>
      <c r="M86" s="13">
        <v>0</v>
      </c>
      <c r="N86" s="13">
        <v>1</v>
      </c>
      <c r="O86" s="13">
        <v>1</v>
      </c>
      <c r="P86" s="13">
        <v>1</v>
      </c>
      <c r="Q86" s="13">
        <v>1</v>
      </c>
      <c r="R86" s="13"/>
      <c r="S86">
        <f t="shared" si="16"/>
        <v>0</v>
      </c>
      <c r="T86">
        <f t="shared" si="17"/>
        <v>0</v>
      </c>
      <c r="U86">
        <f t="shared" si="18"/>
        <v>0</v>
      </c>
      <c r="V86">
        <f t="shared" si="19"/>
        <v>1</v>
      </c>
      <c r="W86">
        <f t="shared" si="20"/>
        <v>0</v>
      </c>
    </row>
    <row r="87" spans="1:23">
      <c r="A87" s="1">
        <v>6</v>
      </c>
      <c r="B87" s="2" t="s">
        <v>12</v>
      </c>
      <c r="C87" s="10">
        <v>5</v>
      </c>
      <c r="D87" s="2" t="s">
        <v>19</v>
      </c>
      <c r="E87" s="2">
        <v>1</v>
      </c>
      <c r="F87" s="2">
        <v>0</v>
      </c>
      <c r="G87" s="2">
        <v>0</v>
      </c>
      <c r="H87" s="2">
        <v>0</v>
      </c>
      <c r="I87" s="2">
        <v>0</v>
      </c>
      <c r="J87" s="9">
        <f t="shared" si="21"/>
        <v>-3</v>
      </c>
      <c r="K87" s="7">
        <f t="shared" si="22"/>
        <v>0.5</v>
      </c>
      <c r="L87" s="10">
        <v>5</v>
      </c>
      <c r="M87" s="13">
        <v>1</v>
      </c>
      <c r="N87" s="13">
        <v>0</v>
      </c>
      <c r="O87" s="13">
        <v>1</v>
      </c>
      <c r="P87" s="13">
        <v>0</v>
      </c>
      <c r="Q87" s="13">
        <v>0</v>
      </c>
      <c r="R87" s="13"/>
      <c r="S87">
        <f t="shared" si="16"/>
        <v>1</v>
      </c>
      <c r="T87">
        <f t="shared" si="17"/>
        <v>1</v>
      </c>
      <c r="U87">
        <f t="shared" si="18"/>
        <v>0</v>
      </c>
      <c r="V87">
        <f t="shared" si="19"/>
        <v>1</v>
      </c>
      <c r="W87">
        <f t="shared" si="20"/>
        <v>1</v>
      </c>
    </row>
    <row r="88" spans="1:23" hidden="1">
      <c r="A88" s="1">
        <v>6</v>
      </c>
      <c r="B88" s="2" t="s">
        <v>12</v>
      </c>
      <c r="C88" s="10">
        <v>6</v>
      </c>
      <c r="D88" s="2" t="s">
        <v>20</v>
      </c>
      <c r="E88" s="2">
        <v>1</v>
      </c>
      <c r="F88" s="2">
        <v>0</v>
      </c>
      <c r="G88" s="2">
        <v>0</v>
      </c>
      <c r="H88" s="2">
        <v>1</v>
      </c>
      <c r="I88" s="2">
        <v>0</v>
      </c>
      <c r="J88" s="9">
        <f t="shared" si="21"/>
        <v>0</v>
      </c>
      <c r="K88" s="7">
        <f t="shared" si="22"/>
        <v>1</v>
      </c>
      <c r="L88" s="10">
        <v>6</v>
      </c>
      <c r="M88" s="13">
        <v>1</v>
      </c>
      <c r="N88" s="13">
        <v>0</v>
      </c>
      <c r="O88" s="13">
        <v>0</v>
      </c>
      <c r="P88" s="13">
        <v>1</v>
      </c>
      <c r="Q88" s="13">
        <v>0</v>
      </c>
      <c r="R88" s="13"/>
      <c r="S88">
        <f t="shared" si="16"/>
        <v>1</v>
      </c>
      <c r="T88">
        <f t="shared" si="17"/>
        <v>1</v>
      </c>
      <c r="U88">
        <f t="shared" si="18"/>
        <v>1</v>
      </c>
      <c r="V88">
        <f t="shared" si="19"/>
        <v>1</v>
      </c>
      <c r="W88">
        <f t="shared" si="20"/>
        <v>1</v>
      </c>
    </row>
    <row r="89" spans="1:23" hidden="1">
      <c r="A89" s="1">
        <v>6</v>
      </c>
      <c r="B89" s="2" t="s">
        <v>12</v>
      </c>
      <c r="C89" s="10">
        <v>7</v>
      </c>
      <c r="D89" s="2" t="s">
        <v>21</v>
      </c>
      <c r="E89" s="2">
        <v>1</v>
      </c>
      <c r="F89" s="2">
        <v>0</v>
      </c>
      <c r="G89" s="2">
        <v>1</v>
      </c>
      <c r="H89" s="2">
        <v>0</v>
      </c>
      <c r="I89" s="2">
        <v>0</v>
      </c>
      <c r="J89" s="9">
        <f t="shared" si="21"/>
        <v>-3</v>
      </c>
      <c r="K89" s="7">
        <f t="shared" si="22"/>
        <v>1</v>
      </c>
      <c r="L89" s="10">
        <v>7</v>
      </c>
      <c r="M89" s="13">
        <v>1</v>
      </c>
      <c r="N89" s="13">
        <v>0</v>
      </c>
      <c r="O89" s="13">
        <v>1</v>
      </c>
      <c r="P89" s="13">
        <v>0</v>
      </c>
      <c r="Q89" s="13">
        <v>0</v>
      </c>
      <c r="R89" s="13"/>
      <c r="S89">
        <f t="shared" si="16"/>
        <v>1</v>
      </c>
      <c r="T89">
        <f t="shared" si="17"/>
        <v>1</v>
      </c>
      <c r="U89">
        <f t="shared" si="18"/>
        <v>1</v>
      </c>
      <c r="V89">
        <f t="shared" si="19"/>
        <v>1</v>
      </c>
      <c r="W89">
        <f t="shared" si="20"/>
        <v>1</v>
      </c>
    </row>
    <row r="90" spans="1:23" hidden="1">
      <c r="A90" s="1">
        <v>6</v>
      </c>
      <c r="B90" s="2" t="s">
        <v>12</v>
      </c>
      <c r="C90" s="10">
        <v>8</v>
      </c>
      <c r="D90" s="2" t="s">
        <v>22</v>
      </c>
      <c r="E90" s="2">
        <v>0</v>
      </c>
      <c r="F90" s="2">
        <v>0</v>
      </c>
      <c r="G90" s="2">
        <v>0</v>
      </c>
      <c r="H90" s="2">
        <v>1</v>
      </c>
      <c r="I90" s="2">
        <v>0</v>
      </c>
      <c r="J90" s="9">
        <f t="shared" si="21"/>
        <v>0</v>
      </c>
      <c r="K90" s="7">
        <f t="shared" si="22"/>
        <v>0.8</v>
      </c>
      <c r="L90" s="10">
        <v>8</v>
      </c>
      <c r="M90" s="13">
        <v>1</v>
      </c>
      <c r="N90" s="13">
        <v>0</v>
      </c>
      <c r="O90" s="13">
        <v>0</v>
      </c>
      <c r="P90" s="13">
        <v>1</v>
      </c>
      <c r="Q90" s="13">
        <v>0</v>
      </c>
      <c r="R90" s="13"/>
      <c r="S90">
        <f t="shared" si="16"/>
        <v>0</v>
      </c>
      <c r="T90">
        <f t="shared" si="17"/>
        <v>1</v>
      </c>
      <c r="U90">
        <f t="shared" si="18"/>
        <v>1</v>
      </c>
      <c r="V90">
        <f t="shared" si="19"/>
        <v>1</v>
      </c>
      <c r="W90">
        <f t="shared" si="20"/>
        <v>1</v>
      </c>
    </row>
    <row r="91" spans="1:23">
      <c r="A91" s="1">
        <v>6</v>
      </c>
      <c r="B91" s="2" t="s">
        <v>12</v>
      </c>
      <c r="C91" s="10">
        <v>9</v>
      </c>
      <c r="D91" s="2" t="s">
        <v>23</v>
      </c>
      <c r="E91" s="2">
        <v>1</v>
      </c>
      <c r="F91" s="2">
        <v>0</v>
      </c>
      <c r="G91" s="2">
        <v>0</v>
      </c>
      <c r="H91" s="2">
        <v>0</v>
      </c>
      <c r="I91" s="2">
        <v>0</v>
      </c>
      <c r="J91" s="9">
        <f t="shared" si="21"/>
        <v>-3</v>
      </c>
      <c r="K91" s="7">
        <f t="shared" si="22"/>
        <v>0.5</v>
      </c>
      <c r="L91" s="10">
        <v>9</v>
      </c>
      <c r="M91" s="13">
        <v>1</v>
      </c>
      <c r="N91" s="13">
        <v>0</v>
      </c>
      <c r="O91" s="13">
        <v>1</v>
      </c>
      <c r="P91" s="13">
        <v>0</v>
      </c>
      <c r="Q91" s="13">
        <v>0</v>
      </c>
      <c r="R91" s="13"/>
      <c r="S91">
        <f t="shared" si="16"/>
        <v>1</v>
      </c>
      <c r="T91">
        <f t="shared" si="17"/>
        <v>1</v>
      </c>
      <c r="U91">
        <f t="shared" si="18"/>
        <v>0</v>
      </c>
      <c r="V91">
        <f t="shared" si="19"/>
        <v>1</v>
      </c>
      <c r="W91">
        <f t="shared" si="20"/>
        <v>1</v>
      </c>
    </row>
    <row r="92" spans="1:23" hidden="1">
      <c r="A92" s="1">
        <v>6</v>
      </c>
      <c r="B92" s="2" t="s">
        <v>12</v>
      </c>
      <c r="C92" s="10">
        <v>10</v>
      </c>
      <c r="D92" s="2" t="s">
        <v>24</v>
      </c>
      <c r="E92" s="2">
        <v>0</v>
      </c>
      <c r="F92" s="2">
        <v>1</v>
      </c>
      <c r="G92" s="2">
        <v>0</v>
      </c>
      <c r="H92" s="2">
        <v>1</v>
      </c>
      <c r="I92" s="2">
        <v>0</v>
      </c>
      <c r="J92" s="9">
        <f t="shared" si="21"/>
        <v>0</v>
      </c>
      <c r="K92" s="7">
        <f t="shared" si="22"/>
        <v>0.6</v>
      </c>
      <c r="L92" s="10">
        <v>10</v>
      </c>
      <c r="M92" s="13">
        <v>1</v>
      </c>
      <c r="N92" s="13">
        <v>0</v>
      </c>
      <c r="O92" s="13">
        <v>0</v>
      </c>
      <c r="P92" s="13">
        <v>1</v>
      </c>
      <c r="Q92" s="13">
        <v>0</v>
      </c>
      <c r="R92" s="13"/>
      <c r="S92">
        <f t="shared" si="16"/>
        <v>0</v>
      </c>
      <c r="T92">
        <f t="shared" si="17"/>
        <v>0</v>
      </c>
      <c r="U92">
        <f t="shared" si="18"/>
        <v>1</v>
      </c>
      <c r="V92">
        <f t="shared" si="19"/>
        <v>1</v>
      </c>
      <c r="W92">
        <f t="shared" si="20"/>
        <v>1</v>
      </c>
    </row>
    <row r="93" spans="1:23">
      <c r="A93" s="1">
        <v>6</v>
      </c>
      <c r="B93" s="2" t="s">
        <v>12</v>
      </c>
      <c r="C93" s="10">
        <v>11</v>
      </c>
      <c r="D93" s="2" t="s">
        <v>25</v>
      </c>
      <c r="E93" s="2">
        <v>1</v>
      </c>
      <c r="F93" s="2">
        <v>0</v>
      </c>
      <c r="G93" s="2">
        <v>0</v>
      </c>
      <c r="H93" s="2">
        <v>1</v>
      </c>
      <c r="I93" s="2">
        <v>0</v>
      </c>
      <c r="J93" s="9">
        <f t="shared" si="21"/>
        <v>0</v>
      </c>
      <c r="K93" s="7">
        <f t="shared" si="22"/>
        <v>1</v>
      </c>
      <c r="L93" s="10">
        <v>11</v>
      </c>
      <c r="M93" s="13">
        <v>1</v>
      </c>
      <c r="N93" s="13">
        <v>0</v>
      </c>
      <c r="O93" s="13">
        <v>0</v>
      </c>
      <c r="P93" s="13">
        <v>1</v>
      </c>
      <c r="Q93" s="13">
        <v>0</v>
      </c>
      <c r="R93" s="13"/>
      <c r="S93">
        <f t="shared" si="16"/>
        <v>1</v>
      </c>
      <c r="T93">
        <f t="shared" si="17"/>
        <v>1</v>
      </c>
      <c r="U93">
        <f t="shared" si="18"/>
        <v>1</v>
      </c>
      <c r="V93">
        <f t="shared" si="19"/>
        <v>1</v>
      </c>
      <c r="W93">
        <f t="shared" si="20"/>
        <v>1</v>
      </c>
    </row>
    <row r="94" spans="1:23" hidden="1">
      <c r="A94" s="1">
        <v>6</v>
      </c>
      <c r="B94" s="2" t="s">
        <v>12</v>
      </c>
      <c r="C94" s="10">
        <v>12</v>
      </c>
      <c r="D94" s="2" t="s">
        <v>26</v>
      </c>
      <c r="E94" s="2">
        <v>1</v>
      </c>
      <c r="F94" s="2">
        <v>0</v>
      </c>
      <c r="G94" s="2">
        <v>1</v>
      </c>
      <c r="H94" s="2">
        <v>0</v>
      </c>
      <c r="I94" s="2">
        <v>0</v>
      </c>
      <c r="J94" s="9">
        <f t="shared" si="21"/>
        <v>-3</v>
      </c>
      <c r="K94" s="7">
        <f t="shared" si="22"/>
        <v>1</v>
      </c>
      <c r="L94" s="10">
        <v>12</v>
      </c>
      <c r="M94" s="13">
        <v>1</v>
      </c>
      <c r="N94" s="13">
        <v>0</v>
      </c>
      <c r="O94" s="13">
        <v>1</v>
      </c>
      <c r="P94" s="13">
        <v>0</v>
      </c>
      <c r="Q94" s="13">
        <v>0</v>
      </c>
      <c r="R94" s="13"/>
      <c r="S94">
        <f t="shared" si="16"/>
        <v>1</v>
      </c>
      <c r="T94">
        <f t="shared" si="17"/>
        <v>1</v>
      </c>
      <c r="U94">
        <f t="shared" si="18"/>
        <v>1</v>
      </c>
      <c r="V94">
        <f t="shared" si="19"/>
        <v>1</v>
      </c>
      <c r="W94">
        <f t="shared" si="20"/>
        <v>1</v>
      </c>
    </row>
    <row r="95" spans="1:23" hidden="1">
      <c r="A95" s="1">
        <v>6</v>
      </c>
      <c r="B95" s="2" t="s">
        <v>12</v>
      </c>
      <c r="C95" s="10">
        <v>13</v>
      </c>
      <c r="D95" s="2" t="s">
        <v>27</v>
      </c>
      <c r="E95" s="2">
        <v>0</v>
      </c>
      <c r="F95" s="2">
        <v>1</v>
      </c>
      <c r="G95" s="2">
        <v>0</v>
      </c>
      <c r="H95" s="2">
        <v>1</v>
      </c>
      <c r="I95" s="2">
        <v>1</v>
      </c>
      <c r="J95" s="9">
        <f t="shared" si="21"/>
        <v>0</v>
      </c>
      <c r="K95" s="7">
        <f t="shared" si="22"/>
        <v>1</v>
      </c>
      <c r="L95" s="10">
        <v>13</v>
      </c>
      <c r="M95" s="13">
        <v>0</v>
      </c>
      <c r="N95" s="13">
        <v>1</v>
      </c>
      <c r="O95" s="13">
        <v>0</v>
      </c>
      <c r="P95" s="13">
        <v>1</v>
      </c>
      <c r="Q95" s="13">
        <v>1</v>
      </c>
      <c r="R95" s="13"/>
      <c r="S95">
        <f t="shared" si="16"/>
        <v>1</v>
      </c>
      <c r="T95">
        <f t="shared" si="17"/>
        <v>1</v>
      </c>
      <c r="U95">
        <f t="shared" si="18"/>
        <v>1</v>
      </c>
      <c r="V95">
        <f t="shared" si="19"/>
        <v>1</v>
      </c>
      <c r="W95">
        <f t="shared" si="20"/>
        <v>1</v>
      </c>
    </row>
    <row r="96" spans="1:23" hidden="1">
      <c r="A96" s="1">
        <v>6</v>
      </c>
      <c r="B96" s="2" t="s">
        <v>12</v>
      </c>
      <c r="C96" s="10">
        <v>14</v>
      </c>
      <c r="D96" s="2" t="s">
        <v>28</v>
      </c>
      <c r="E96" s="2">
        <v>1</v>
      </c>
      <c r="F96" s="2">
        <v>0</v>
      </c>
      <c r="G96" s="2">
        <v>1</v>
      </c>
      <c r="H96" s="2">
        <v>0</v>
      </c>
      <c r="I96" s="2">
        <v>0</v>
      </c>
      <c r="J96" s="9">
        <f t="shared" si="21"/>
        <v>-3</v>
      </c>
      <c r="K96" s="7">
        <f t="shared" si="22"/>
        <v>1</v>
      </c>
      <c r="L96" s="10">
        <v>14</v>
      </c>
      <c r="M96" s="13">
        <v>1</v>
      </c>
      <c r="N96" s="13">
        <v>0</v>
      </c>
      <c r="O96" s="13">
        <v>1</v>
      </c>
      <c r="P96" s="13">
        <v>0</v>
      </c>
      <c r="Q96" s="13">
        <v>0</v>
      </c>
      <c r="R96" s="13"/>
      <c r="S96">
        <f t="shared" si="16"/>
        <v>1</v>
      </c>
      <c r="T96">
        <f t="shared" si="17"/>
        <v>1</v>
      </c>
      <c r="U96">
        <f t="shared" si="18"/>
        <v>1</v>
      </c>
      <c r="V96">
        <f t="shared" si="19"/>
        <v>1</v>
      </c>
      <c r="W96">
        <f t="shared" si="20"/>
        <v>1</v>
      </c>
    </row>
    <row r="97" spans="1:23" hidden="1">
      <c r="A97" s="1">
        <v>6</v>
      </c>
      <c r="B97" s="2" t="s">
        <v>12</v>
      </c>
      <c r="C97" s="10">
        <v>15</v>
      </c>
      <c r="D97" s="2" t="s">
        <v>29</v>
      </c>
      <c r="E97" s="2">
        <v>1</v>
      </c>
      <c r="F97" s="2">
        <v>0</v>
      </c>
      <c r="G97" s="2">
        <v>0</v>
      </c>
      <c r="H97" s="2">
        <v>1</v>
      </c>
      <c r="I97" s="2">
        <v>0</v>
      </c>
      <c r="J97" s="9">
        <f t="shared" si="21"/>
        <v>0</v>
      </c>
      <c r="K97" s="7">
        <f t="shared" si="22"/>
        <v>1</v>
      </c>
      <c r="L97" s="10">
        <v>15</v>
      </c>
      <c r="M97" s="13">
        <v>1</v>
      </c>
      <c r="N97" s="13">
        <v>0</v>
      </c>
      <c r="O97" s="13">
        <v>0</v>
      </c>
      <c r="P97" s="13">
        <v>1</v>
      </c>
      <c r="Q97" s="13">
        <v>0</v>
      </c>
      <c r="R97" s="13"/>
      <c r="S97">
        <f t="shared" si="16"/>
        <v>1</v>
      </c>
      <c r="T97">
        <f t="shared" si="17"/>
        <v>1</v>
      </c>
      <c r="U97">
        <f t="shared" si="18"/>
        <v>1</v>
      </c>
      <c r="V97">
        <f t="shared" si="19"/>
        <v>1</v>
      </c>
      <c r="W97">
        <f t="shared" si="20"/>
        <v>1</v>
      </c>
    </row>
    <row r="98" spans="1:23" hidden="1">
      <c r="A98" s="1">
        <v>6</v>
      </c>
      <c r="B98" s="2" t="s">
        <v>30</v>
      </c>
      <c r="C98" s="10">
        <v>16</v>
      </c>
      <c r="D98" s="2" t="s">
        <v>31</v>
      </c>
      <c r="E98" s="2">
        <v>1</v>
      </c>
      <c r="F98" s="2">
        <v>1</v>
      </c>
      <c r="G98" s="2">
        <v>0</v>
      </c>
      <c r="H98" s="2">
        <v>0</v>
      </c>
      <c r="I98" s="2">
        <v>1</v>
      </c>
      <c r="J98" s="9">
        <f t="shared" si="21"/>
        <v>-1</v>
      </c>
      <c r="K98" s="7">
        <f t="shared" si="22"/>
        <v>0.5</v>
      </c>
      <c r="L98" s="10">
        <v>16</v>
      </c>
      <c r="M98" s="13">
        <v>1</v>
      </c>
      <c r="N98" s="13">
        <v>0</v>
      </c>
      <c r="O98" s="13">
        <v>1</v>
      </c>
      <c r="P98" s="13">
        <v>0</v>
      </c>
      <c r="Q98" s="13">
        <v>1</v>
      </c>
      <c r="R98" s="13"/>
      <c r="S98">
        <f t="shared" si="16"/>
        <v>1</v>
      </c>
      <c r="T98">
        <f t="shared" si="17"/>
        <v>0</v>
      </c>
      <c r="U98">
        <f t="shared" si="18"/>
        <v>0</v>
      </c>
      <c r="V98">
        <f t="shared" si="19"/>
        <v>1</v>
      </c>
      <c r="W98">
        <f t="shared" si="20"/>
        <v>1</v>
      </c>
    </row>
    <row r="99" spans="1:23" hidden="1">
      <c r="A99" s="1">
        <v>7</v>
      </c>
      <c r="B99" s="2" t="s">
        <v>12</v>
      </c>
      <c r="C99" s="10">
        <v>1</v>
      </c>
      <c r="D99" s="2" t="s">
        <v>32</v>
      </c>
      <c r="E99" s="2">
        <v>1</v>
      </c>
      <c r="F99" s="2">
        <v>0</v>
      </c>
      <c r="G99" s="2">
        <v>1</v>
      </c>
      <c r="H99" s="2">
        <v>0</v>
      </c>
      <c r="I99" s="2">
        <v>0</v>
      </c>
      <c r="J99" s="9">
        <f t="shared" si="21"/>
        <v>-3</v>
      </c>
      <c r="K99" s="7">
        <f t="shared" si="22"/>
        <v>1</v>
      </c>
      <c r="L99" s="10">
        <v>1</v>
      </c>
      <c r="M99" s="13">
        <v>1</v>
      </c>
      <c r="N99" s="13">
        <v>0</v>
      </c>
      <c r="O99" s="13">
        <v>1</v>
      </c>
      <c r="P99" s="13">
        <v>0</v>
      </c>
      <c r="Q99" s="13">
        <v>0</v>
      </c>
      <c r="R99" s="13"/>
      <c r="S99">
        <f t="shared" ref="S99:S130" si="23">IF(E99=M99, 1, 0)</f>
        <v>1</v>
      </c>
      <c r="T99">
        <f t="shared" ref="T99:T130" si="24">IF(F99=N99, 1, 0)</f>
        <v>1</v>
      </c>
      <c r="U99">
        <f t="shared" ref="U99:U130" si="25">IF(G99=O99, 1, 0)</f>
        <v>1</v>
      </c>
      <c r="V99">
        <f t="shared" ref="V99:V130" si="26">IF(H99=P99, 1, 0)</f>
        <v>1</v>
      </c>
      <c r="W99">
        <f t="shared" ref="W99:W130" si="27">IF(I99=Q99, 1, 0)</f>
        <v>1</v>
      </c>
    </row>
    <row r="100" spans="1:23" hidden="1">
      <c r="A100" s="1">
        <v>7</v>
      </c>
      <c r="B100" s="2" t="s">
        <v>12</v>
      </c>
      <c r="C100" s="10">
        <v>2</v>
      </c>
      <c r="D100" s="2" t="s">
        <v>16</v>
      </c>
      <c r="E100" s="2">
        <v>1</v>
      </c>
      <c r="F100" s="2">
        <v>1</v>
      </c>
      <c r="G100" s="2">
        <v>1</v>
      </c>
      <c r="H100" s="2">
        <v>1</v>
      </c>
      <c r="I100" s="2">
        <v>0</v>
      </c>
      <c r="J100" s="9">
        <f t="shared" si="21"/>
        <v>0</v>
      </c>
      <c r="K100" s="7">
        <f t="shared" si="22"/>
        <v>0.8</v>
      </c>
      <c r="L100" s="10">
        <v>2</v>
      </c>
      <c r="M100" s="13">
        <v>1</v>
      </c>
      <c r="N100" s="13">
        <v>0</v>
      </c>
      <c r="O100" s="13">
        <v>1</v>
      </c>
      <c r="P100" s="13">
        <v>1</v>
      </c>
      <c r="Q100" s="13">
        <v>0</v>
      </c>
      <c r="R100" s="13"/>
      <c r="S100">
        <f t="shared" si="23"/>
        <v>1</v>
      </c>
      <c r="T100">
        <f t="shared" si="24"/>
        <v>0</v>
      </c>
      <c r="U100">
        <f t="shared" si="25"/>
        <v>1</v>
      </c>
      <c r="V100">
        <f t="shared" si="26"/>
        <v>1</v>
      </c>
      <c r="W100">
        <f t="shared" si="27"/>
        <v>1</v>
      </c>
    </row>
    <row r="101" spans="1:23" hidden="1">
      <c r="A101" s="1">
        <v>7</v>
      </c>
      <c r="B101" s="2" t="s">
        <v>12</v>
      </c>
      <c r="C101" s="10">
        <v>3</v>
      </c>
      <c r="D101" s="2" t="s">
        <v>17</v>
      </c>
      <c r="E101" s="2">
        <v>1</v>
      </c>
      <c r="F101" s="2">
        <v>0</v>
      </c>
      <c r="G101" s="2">
        <v>1</v>
      </c>
      <c r="H101" s="2">
        <v>0</v>
      </c>
      <c r="I101" s="2">
        <v>0</v>
      </c>
      <c r="J101" s="9">
        <f t="shared" si="21"/>
        <v>-3</v>
      </c>
      <c r="K101" s="7">
        <f t="shared" ref="K101:K132" si="28">SUM(IF(E101=M101,1,0),IF(F101=N101,1,0),IF(G101=O101,1,0),IF(H101=P101,1,0),IF(I101=Q101,1,0),J101)/IF(OR(C101=1,C101=3,C101=5,C101=7,C101=9,C101=12,C101=14),2,IF(OR(C101=2,C101=4,C101=6,C101=8,C101=10,C101=11,C101=13,C101=15),5,4))</f>
        <v>1</v>
      </c>
      <c r="L101" s="10">
        <v>3</v>
      </c>
      <c r="M101" s="13">
        <v>1</v>
      </c>
      <c r="N101" s="13">
        <v>0</v>
      </c>
      <c r="O101" s="13">
        <v>1</v>
      </c>
      <c r="P101" s="13">
        <v>0</v>
      </c>
      <c r="Q101" s="13">
        <v>0</v>
      </c>
      <c r="R101" s="13"/>
      <c r="S101">
        <f t="shared" si="23"/>
        <v>1</v>
      </c>
      <c r="T101">
        <f t="shared" si="24"/>
        <v>1</v>
      </c>
      <c r="U101">
        <f t="shared" si="25"/>
        <v>1</v>
      </c>
      <c r="V101">
        <f t="shared" si="26"/>
        <v>1</v>
      </c>
      <c r="W101">
        <f t="shared" si="27"/>
        <v>1</v>
      </c>
    </row>
    <row r="102" spans="1:23" hidden="1">
      <c r="A102" s="1">
        <v>7</v>
      </c>
      <c r="B102" s="2" t="s">
        <v>12</v>
      </c>
      <c r="C102" s="10">
        <v>4</v>
      </c>
      <c r="D102" s="2" t="s">
        <v>18</v>
      </c>
      <c r="E102" s="2">
        <v>0</v>
      </c>
      <c r="F102" s="2">
        <v>1</v>
      </c>
      <c r="G102" s="2">
        <v>0</v>
      </c>
      <c r="H102" s="2">
        <v>1</v>
      </c>
      <c r="I102" s="2">
        <v>1</v>
      </c>
      <c r="J102" s="9">
        <f t="shared" si="21"/>
        <v>0</v>
      </c>
      <c r="K102" s="7">
        <f t="shared" si="28"/>
        <v>1</v>
      </c>
      <c r="L102" s="10">
        <v>4</v>
      </c>
      <c r="M102" s="13">
        <v>0</v>
      </c>
      <c r="N102" s="13">
        <v>1</v>
      </c>
      <c r="O102" s="13">
        <v>0</v>
      </c>
      <c r="P102" s="13">
        <v>1</v>
      </c>
      <c r="Q102" s="13">
        <v>1</v>
      </c>
      <c r="R102" s="13"/>
      <c r="S102">
        <f t="shared" si="23"/>
        <v>1</v>
      </c>
      <c r="T102">
        <f t="shared" si="24"/>
        <v>1</v>
      </c>
      <c r="U102">
        <f t="shared" si="25"/>
        <v>1</v>
      </c>
      <c r="V102">
        <f t="shared" si="26"/>
        <v>1</v>
      </c>
      <c r="W102">
        <f t="shared" si="27"/>
        <v>1</v>
      </c>
    </row>
    <row r="103" spans="1:23">
      <c r="A103" s="1">
        <v>7</v>
      </c>
      <c r="B103" s="2" t="s">
        <v>12</v>
      </c>
      <c r="C103" s="10">
        <v>5</v>
      </c>
      <c r="D103" s="2" t="s">
        <v>19</v>
      </c>
      <c r="E103" s="2">
        <v>1</v>
      </c>
      <c r="F103" s="2">
        <v>0</v>
      </c>
      <c r="G103" s="2">
        <v>0</v>
      </c>
      <c r="H103" s="2">
        <v>0</v>
      </c>
      <c r="I103" s="2">
        <v>0</v>
      </c>
      <c r="J103" s="9">
        <f t="shared" si="21"/>
        <v>-3</v>
      </c>
      <c r="K103" s="7">
        <f t="shared" si="28"/>
        <v>0.5</v>
      </c>
      <c r="L103" s="10">
        <v>5</v>
      </c>
      <c r="M103" s="13">
        <v>1</v>
      </c>
      <c r="N103" s="13">
        <v>0</v>
      </c>
      <c r="O103" s="13">
        <v>1</v>
      </c>
      <c r="P103" s="13">
        <v>0</v>
      </c>
      <c r="Q103" s="13">
        <v>0</v>
      </c>
      <c r="R103" s="13"/>
      <c r="S103">
        <f t="shared" si="23"/>
        <v>1</v>
      </c>
      <c r="T103">
        <f t="shared" si="24"/>
        <v>1</v>
      </c>
      <c r="U103">
        <f t="shared" si="25"/>
        <v>0</v>
      </c>
      <c r="V103">
        <f t="shared" si="26"/>
        <v>1</v>
      </c>
      <c r="W103">
        <f t="shared" si="27"/>
        <v>1</v>
      </c>
    </row>
    <row r="104" spans="1:23" hidden="1">
      <c r="A104" s="1">
        <v>7</v>
      </c>
      <c r="B104" s="2" t="s">
        <v>12</v>
      </c>
      <c r="C104" s="10">
        <v>6</v>
      </c>
      <c r="D104" s="2" t="s">
        <v>20</v>
      </c>
      <c r="E104" s="2">
        <v>0</v>
      </c>
      <c r="F104" s="2">
        <v>1</v>
      </c>
      <c r="G104" s="2">
        <v>0</v>
      </c>
      <c r="H104" s="2">
        <v>0</v>
      </c>
      <c r="I104" s="2">
        <v>1</v>
      </c>
      <c r="J104" s="9">
        <f t="shared" si="21"/>
        <v>0</v>
      </c>
      <c r="K104" s="7">
        <f t="shared" si="28"/>
        <v>0.8</v>
      </c>
      <c r="L104" s="10">
        <v>6</v>
      </c>
      <c r="M104" s="13">
        <v>0</v>
      </c>
      <c r="N104" s="13">
        <v>1</v>
      </c>
      <c r="O104" s="13">
        <v>0</v>
      </c>
      <c r="P104" s="13">
        <v>1</v>
      </c>
      <c r="Q104" s="13">
        <v>1</v>
      </c>
      <c r="R104" s="13"/>
      <c r="S104">
        <f t="shared" si="23"/>
        <v>1</v>
      </c>
      <c r="T104">
        <f t="shared" si="24"/>
        <v>1</v>
      </c>
      <c r="U104">
        <f t="shared" si="25"/>
        <v>1</v>
      </c>
      <c r="V104">
        <f t="shared" si="26"/>
        <v>0</v>
      </c>
      <c r="W104">
        <f t="shared" si="27"/>
        <v>1</v>
      </c>
    </row>
    <row r="105" spans="1:23">
      <c r="A105" s="1">
        <v>7</v>
      </c>
      <c r="B105" s="2" t="s">
        <v>12</v>
      </c>
      <c r="C105" s="10">
        <v>7</v>
      </c>
      <c r="D105" s="2" t="s">
        <v>21</v>
      </c>
      <c r="E105" s="2">
        <v>1</v>
      </c>
      <c r="F105" s="2">
        <v>0</v>
      </c>
      <c r="G105" s="2">
        <v>0</v>
      </c>
      <c r="H105" s="2">
        <v>0</v>
      </c>
      <c r="I105" s="2">
        <v>0</v>
      </c>
      <c r="J105" s="9">
        <f t="shared" si="21"/>
        <v>-3</v>
      </c>
      <c r="K105" s="7">
        <f t="shared" si="28"/>
        <v>0.5</v>
      </c>
      <c r="L105" s="10">
        <v>7</v>
      </c>
      <c r="M105" s="13">
        <v>1</v>
      </c>
      <c r="N105" s="13">
        <v>0</v>
      </c>
      <c r="O105" s="13">
        <v>1</v>
      </c>
      <c r="P105" s="13">
        <v>0</v>
      </c>
      <c r="Q105" s="13">
        <v>0</v>
      </c>
      <c r="R105" s="13"/>
      <c r="S105">
        <f t="shared" si="23"/>
        <v>1</v>
      </c>
      <c r="T105">
        <f t="shared" si="24"/>
        <v>1</v>
      </c>
      <c r="U105">
        <f t="shared" si="25"/>
        <v>0</v>
      </c>
      <c r="V105">
        <f t="shared" si="26"/>
        <v>1</v>
      </c>
      <c r="W105">
        <f t="shared" si="27"/>
        <v>1</v>
      </c>
    </row>
    <row r="106" spans="1:23" hidden="1">
      <c r="A106" s="1">
        <v>7</v>
      </c>
      <c r="B106" s="2" t="s">
        <v>12</v>
      </c>
      <c r="C106" s="10">
        <v>8</v>
      </c>
      <c r="D106" s="2" t="s">
        <v>22</v>
      </c>
      <c r="E106" s="2">
        <v>1</v>
      </c>
      <c r="F106" s="2">
        <v>1</v>
      </c>
      <c r="G106" s="2">
        <v>0</v>
      </c>
      <c r="H106" s="2">
        <v>0</v>
      </c>
      <c r="I106" s="2">
        <v>1</v>
      </c>
      <c r="J106" s="9">
        <f t="shared" si="21"/>
        <v>0</v>
      </c>
      <c r="K106" s="7">
        <f t="shared" si="28"/>
        <v>0.6</v>
      </c>
      <c r="L106" s="10">
        <v>8</v>
      </c>
      <c r="M106" s="13">
        <v>0</v>
      </c>
      <c r="N106" s="13">
        <v>1</v>
      </c>
      <c r="O106" s="13">
        <v>0</v>
      </c>
      <c r="P106" s="13">
        <v>1</v>
      </c>
      <c r="Q106" s="13">
        <v>1</v>
      </c>
      <c r="R106" s="13"/>
      <c r="S106">
        <f t="shared" si="23"/>
        <v>0</v>
      </c>
      <c r="T106">
        <f t="shared" si="24"/>
        <v>1</v>
      </c>
      <c r="U106">
        <f t="shared" si="25"/>
        <v>1</v>
      </c>
      <c r="V106">
        <f t="shared" si="26"/>
        <v>0</v>
      </c>
      <c r="W106">
        <f t="shared" si="27"/>
        <v>1</v>
      </c>
    </row>
    <row r="107" spans="1:23">
      <c r="A107" s="1">
        <v>7</v>
      </c>
      <c r="B107" s="2" t="s">
        <v>12</v>
      </c>
      <c r="C107" s="10">
        <v>9</v>
      </c>
      <c r="D107" s="2" t="s">
        <v>23</v>
      </c>
      <c r="E107" s="2">
        <v>1</v>
      </c>
      <c r="F107" s="2">
        <v>0</v>
      </c>
      <c r="G107" s="2">
        <v>0</v>
      </c>
      <c r="H107" s="2">
        <v>0</v>
      </c>
      <c r="I107" s="2">
        <v>0</v>
      </c>
      <c r="J107" s="9">
        <f t="shared" si="21"/>
        <v>-3</v>
      </c>
      <c r="K107" s="7">
        <f t="shared" si="28"/>
        <v>0.5</v>
      </c>
      <c r="L107" s="10">
        <v>9</v>
      </c>
      <c r="M107" s="13">
        <v>1</v>
      </c>
      <c r="N107" s="13">
        <v>0</v>
      </c>
      <c r="O107" s="13">
        <v>1</v>
      </c>
      <c r="P107" s="13">
        <v>0</v>
      </c>
      <c r="Q107" s="13">
        <v>0</v>
      </c>
      <c r="R107" s="13"/>
      <c r="S107">
        <f t="shared" si="23"/>
        <v>1</v>
      </c>
      <c r="T107">
        <f t="shared" si="24"/>
        <v>1</v>
      </c>
      <c r="U107">
        <f t="shared" si="25"/>
        <v>0</v>
      </c>
      <c r="V107">
        <f t="shared" si="26"/>
        <v>1</v>
      </c>
      <c r="W107">
        <f t="shared" si="27"/>
        <v>1</v>
      </c>
    </row>
    <row r="108" spans="1:23" hidden="1">
      <c r="A108" s="1">
        <v>7</v>
      </c>
      <c r="B108" s="2" t="s">
        <v>12</v>
      </c>
      <c r="C108" s="10">
        <v>10</v>
      </c>
      <c r="D108" s="2" t="s">
        <v>24</v>
      </c>
      <c r="E108" s="2">
        <v>0</v>
      </c>
      <c r="F108" s="2">
        <v>1</v>
      </c>
      <c r="G108" s="2">
        <v>0</v>
      </c>
      <c r="H108" s="2">
        <v>0</v>
      </c>
      <c r="I108" s="2">
        <v>1</v>
      </c>
      <c r="J108" s="9">
        <f t="shared" si="21"/>
        <v>0</v>
      </c>
      <c r="K108" s="7">
        <f t="shared" si="28"/>
        <v>0.6</v>
      </c>
      <c r="L108" s="10">
        <v>10</v>
      </c>
      <c r="M108" s="13">
        <v>0</v>
      </c>
      <c r="N108" s="13">
        <v>0</v>
      </c>
      <c r="O108" s="13">
        <v>0</v>
      </c>
      <c r="P108" s="13">
        <v>1</v>
      </c>
      <c r="Q108" s="13">
        <v>1</v>
      </c>
      <c r="R108" s="13"/>
      <c r="S108">
        <f t="shared" si="23"/>
        <v>1</v>
      </c>
      <c r="T108">
        <f t="shared" si="24"/>
        <v>0</v>
      </c>
      <c r="U108">
        <f t="shared" si="25"/>
        <v>1</v>
      </c>
      <c r="V108">
        <f t="shared" si="26"/>
        <v>0</v>
      </c>
      <c r="W108">
        <f t="shared" si="27"/>
        <v>1</v>
      </c>
    </row>
    <row r="109" spans="1:23">
      <c r="A109" s="1">
        <v>7</v>
      </c>
      <c r="B109" s="2" t="s">
        <v>12</v>
      </c>
      <c r="C109" s="10">
        <v>11</v>
      </c>
      <c r="D109" s="2" t="s">
        <v>25</v>
      </c>
      <c r="E109" s="2">
        <v>0</v>
      </c>
      <c r="F109" s="2">
        <v>1</v>
      </c>
      <c r="G109" s="2">
        <v>0</v>
      </c>
      <c r="H109" s="2">
        <v>0</v>
      </c>
      <c r="I109" s="2">
        <v>1</v>
      </c>
      <c r="J109" s="9">
        <f t="shared" si="21"/>
        <v>0</v>
      </c>
      <c r="K109" s="7">
        <f t="shared" si="28"/>
        <v>0.8</v>
      </c>
      <c r="L109" s="10">
        <v>11</v>
      </c>
      <c r="M109" s="13">
        <v>0</v>
      </c>
      <c r="N109" s="13">
        <v>1</v>
      </c>
      <c r="O109" s="13">
        <v>0</v>
      </c>
      <c r="P109" s="13">
        <v>1</v>
      </c>
      <c r="Q109" s="13">
        <v>1</v>
      </c>
      <c r="R109" s="13"/>
      <c r="S109">
        <f t="shared" si="23"/>
        <v>1</v>
      </c>
      <c r="T109">
        <f t="shared" si="24"/>
        <v>1</v>
      </c>
      <c r="U109">
        <f t="shared" si="25"/>
        <v>1</v>
      </c>
      <c r="V109">
        <f t="shared" si="26"/>
        <v>0</v>
      </c>
      <c r="W109">
        <f t="shared" si="27"/>
        <v>1</v>
      </c>
    </row>
    <row r="110" spans="1:23" hidden="1">
      <c r="A110" s="1">
        <v>7</v>
      </c>
      <c r="B110" s="2" t="s">
        <v>12</v>
      </c>
      <c r="C110" s="10">
        <v>12</v>
      </c>
      <c r="D110" s="2" t="s">
        <v>26</v>
      </c>
      <c r="E110" s="2">
        <v>1</v>
      </c>
      <c r="F110" s="2">
        <v>0</v>
      </c>
      <c r="G110" s="2">
        <v>1</v>
      </c>
      <c r="H110" s="2">
        <v>0</v>
      </c>
      <c r="I110" s="2">
        <v>0</v>
      </c>
      <c r="J110" s="9">
        <f t="shared" si="21"/>
        <v>-3</v>
      </c>
      <c r="K110" s="7">
        <f t="shared" si="28"/>
        <v>1</v>
      </c>
      <c r="L110" s="10">
        <v>12</v>
      </c>
      <c r="M110" s="13">
        <v>1</v>
      </c>
      <c r="N110" s="13">
        <v>0</v>
      </c>
      <c r="O110" s="13">
        <v>1</v>
      </c>
      <c r="P110" s="13">
        <v>0</v>
      </c>
      <c r="Q110" s="13">
        <v>0</v>
      </c>
      <c r="R110" s="13"/>
      <c r="S110">
        <f t="shared" si="23"/>
        <v>1</v>
      </c>
      <c r="T110">
        <f t="shared" si="24"/>
        <v>1</v>
      </c>
      <c r="U110">
        <f t="shared" si="25"/>
        <v>1</v>
      </c>
      <c r="V110">
        <f t="shared" si="26"/>
        <v>1</v>
      </c>
      <c r="W110">
        <f t="shared" si="27"/>
        <v>1</v>
      </c>
    </row>
    <row r="111" spans="1:23" hidden="1">
      <c r="A111" s="1">
        <v>7</v>
      </c>
      <c r="B111" s="2" t="s">
        <v>12</v>
      </c>
      <c r="C111" s="10">
        <v>13</v>
      </c>
      <c r="D111" s="2" t="s">
        <v>27</v>
      </c>
      <c r="E111" s="2">
        <v>0</v>
      </c>
      <c r="F111" s="2">
        <v>1</v>
      </c>
      <c r="G111" s="2">
        <v>0</v>
      </c>
      <c r="H111" s="2">
        <v>0</v>
      </c>
      <c r="I111" s="2">
        <v>1</v>
      </c>
      <c r="J111" s="9">
        <f t="shared" si="21"/>
        <v>0</v>
      </c>
      <c r="K111" s="7">
        <f t="shared" si="28"/>
        <v>0.8</v>
      </c>
      <c r="L111" s="10">
        <v>13</v>
      </c>
      <c r="M111" s="13">
        <v>0</v>
      </c>
      <c r="N111" s="13">
        <v>1</v>
      </c>
      <c r="O111" s="13">
        <v>0</v>
      </c>
      <c r="P111" s="13">
        <v>1</v>
      </c>
      <c r="Q111" s="13">
        <v>1</v>
      </c>
      <c r="R111" s="13"/>
      <c r="S111">
        <f t="shared" si="23"/>
        <v>1</v>
      </c>
      <c r="T111">
        <f t="shared" si="24"/>
        <v>1</v>
      </c>
      <c r="U111">
        <f t="shared" si="25"/>
        <v>1</v>
      </c>
      <c r="V111">
        <f t="shared" si="26"/>
        <v>0</v>
      </c>
      <c r="W111">
        <f t="shared" si="27"/>
        <v>1</v>
      </c>
    </row>
    <row r="112" spans="1:23" hidden="1">
      <c r="A112" s="1">
        <v>7</v>
      </c>
      <c r="B112" s="2" t="s">
        <v>12</v>
      </c>
      <c r="C112" s="10">
        <v>14</v>
      </c>
      <c r="D112" s="2" t="s">
        <v>28</v>
      </c>
      <c r="E112" s="2">
        <v>1</v>
      </c>
      <c r="F112" s="2">
        <v>0</v>
      </c>
      <c r="G112" s="2">
        <v>1</v>
      </c>
      <c r="H112" s="2">
        <v>0</v>
      </c>
      <c r="I112" s="2">
        <v>0</v>
      </c>
      <c r="J112" s="9">
        <f t="shared" si="21"/>
        <v>-3</v>
      </c>
      <c r="K112" s="7">
        <f t="shared" si="28"/>
        <v>1</v>
      </c>
      <c r="L112" s="10">
        <v>14</v>
      </c>
      <c r="M112" s="13">
        <v>1</v>
      </c>
      <c r="N112" s="13">
        <v>0</v>
      </c>
      <c r="O112" s="13">
        <v>1</v>
      </c>
      <c r="P112" s="13">
        <v>0</v>
      </c>
      <c r="Q112" s="13">
        <v>0</v>
      </c>
      <c r="R112" s="13"/>
      <c r="S112">
        <f t="shared" si="23"/>
        <v>1</v>
      </c>
      <c r="T112">
        <f t="shared" si="24"/>
        <v>1</v>
      </c>
      <c r="U112">
        <f t="shared" si="25"/>
        <v>1</v>
      </c>
      <c r="V112">
        <f t="shared" si="26"/>
        <v>1</v>
      </c>
      <c r="W112">
        <f t="shared" si="27"/>
        <v>1</v>
      </c>
    </row>
    <row r="113" spans="1:23" hidden="1">
      <c r="A113" s="1">
        <v>7</v>
      </c>
      <c r="B113" s="2" t="s">
        <v>12</v>
      </c>
      <c r="C113" s="10">
        <v>15</v>
      </c>
      <c r="D113" s="2" t="s">
        <v>29</v>
      </c>
      <c r="E113" s="2">
        <v>0</v>
      </c>
      <c r="F113" s="2">
        <v>1</v>
      </c>
      <c r="G113" s="2">
        <v>0</v>
      </c>
      <c r="H113" s="2">
        <v>0</v>
      </c>
      <c r="I113" s="2">
        <v>1</v>
      </c>
      <c r="J113" s="9">
        <f t="shared" si="21"/>
        <v>0</v>
      </c>
      <c r="K113" s="7">
        <f t="shared" si="28"/>
        <v>0</v>
      </c>
      <c r="L113" s="10">
        <v>15</v>
      </c>
      <c r="M113" s="13">
        <v>1</v>
      </c>
      <c r="N113" s="13">
        <v>0</v>
      </c>
      <c r="O113" s="13">
        <v>1</v>
      </c>
      <c r="P113" s="13">
        <v>1</v>
      </c>
      <c r="Q113" s="13">
        <v>0</v>
      </c>
      <c r="R113" s="13"/>
      <c r="S113">
        <f t="shared" si="23"/>
        <v>0</v>
      </c>
      <c r="T113">
        <f t="shared" si="24"/>
        <v>0</v>
      </c>
      <c r="U113">
        <f t="shared" si="25"/>
        <v>0</v>
      </c>
      <c r="V113">
        <f t="shared" si="26"/>
        <v>0</v>
      </c>
      <c r="W113">
        <f t="shared" si="27"/>
        <v>0</v>
      </c>
    </row>
    <row r="114" spans="1:23" hidden="1">
      <c r="A114" s="1">
        <v>7</v>
      </c>
      <c r="B114" s="2" t="s">
        <v>30</v>
      </c>
      <c r="C114" s="10">
        <v>16</v>
      </c>
      <c r="D114" s="2" t="s">
        <v>31</v>
      </c>
      <c r="E114" s="2">
        <v>0</v>
      </c>
      <c r="F114" s="2">
        <v>1</v>
      </c>
      <c r="G114" s="2">
        <v>0</v>
      </c>
      <c r="H114" s="2">
        <v>0</v>
      </c>
      <c r="I114" s="2">
        <v>1</v>
      </c>
      <c r="J114" s="9">
        <f t="shared" si="21"/>
        <v>-1</v>
      </c>
      <c r="K114" s="7">
        <f t="shared" si="28"/>
        <v>0.75</v>
      </c>
      <c r="L114" s="10">
        <v>16</v>
      </c>
      <c r="M114" s="13">
        <v>0</v>
      </c>
      <c r="N114" s="13">
        <v>1</v>
      </c>
      <c r="O114" s="13">
        <v>1</v>
      </c>
      <c r="P114" s="13">
        <v>0</v>
      </c>
      <c r="Q114" s="13">
        <v>1</v>
      </c>
      <c r="R114" s="13"/>
      <c r="S114">
        <f t="shared" si="23"/>
        <v>1</v>
      </c>
      <c r="T114">
        <f t="shared" si="24"/>
        <v>1</v>
      </c>
      <c r="U114">
        <f t="shared" si="25"/>
        <v>0</v>
      </c>
      <c r="V114">
        <f t="shared" si="26"/>
        <v>1</v>
      </c>
      <c r="W114">
        <f t="shared" si="27"/>
        <v>1</v>
      </c>
    </row>
    <row r="115" spans="1:23" hidden="1">
      <c r="A115" s="1">
        <v>8</v>
      </c>
      <c r="B115" s="2" t="s">
        <v>12</v>
      </c>
      <c r="C115" s="10">
        <v>1</v>
      </c>
      <c r="D115" s="2" t="s">
        <v>32</v>
      </c>
      <c r="E115" s="2">
        <v>1</v>
      </c>
      <c r="F115" s="2">
        <v>0</v>
      </c>
      <c r="G115" s="2">
        <v>1</v>
      </c>
      <c r="H115" s="2">
        <v>0</v>
      </c>
      <c r="I115" s="2">
        <v>0</v>
      </c>
      <c r="J115" s="9">
        <f t="shared" si="21"/>
        <v>-3</v>
      </c>
      <c r="K115" s="7">
        <f t="shared" si="28"/>
        <v>1</v>
      </c>
      <c r="L115" s="10">
        <v>1</v>
      </c>
      <c r="M115" s="13">
        <v>1</v>
      </c>
      <c r="N115" s="13">
        <v>0</v>
      </c>
      <c r="O115" s="13">
        <v>1</v>
      </c>
      <c r="P115" s="13">
        <v>0</v>
      </c>
      <c r="Q115" s="13">
        <v>0</v>
      </c>
      <c r="R115" s="13"/>
      <c r="S115">
        <f t="shared" si="23"/>
        <v>1</v>
      </c>
      <c r="T115">
        <f t="shared" si="24"/>
        <v>1</v>
      </c>
      <c r="U115">
        <f t="shared" si="25"/>
        <v>1</v>
      </c>
      <c r="V115">
        <f t="shared" si="26"/>
        <v>1</v>
      </c>
      <c r="W115">
        <f t="shared" si="27"/>
        <v>1</v>
      </c>
    </row>
    <row r="116" spans="1:23" hidden="1">
      <c r="A116" s="1">
        <v>8</v>
      </c>
      <c r="B116" s="2" t="s">
        <v>12</v>
      </c>
      <c r="C116" s="10">
        <v>2</v>
      </c>
      <c r="D116" s="2" t="s">
        <v>16</v>
      </c>
      <c r="E116" s="2">
        <v>0</v>
      </c>
      <c r="F116" s="2">
        <v>1</v>
      </c>
      <c r="G116" s="2">
        <v>1</v>
      </c>
      <c r="H116" s="2">
        <v>1</v>
      </c>
      <c r="I116" s="2">
        <v>0</v>
      </c>
      <c r="J116" s="9">
        <f t="shared" si="21"/>
        <v>0</v>
      </c>
      <c r="K116" s="7">
        <f t="shared" si="28"/>
        <v>0.6</v>
      </c>
      <c r="L116" s="10">
        <v>2</v>
      </c>
      <c r="M116" s="13">
        <v>1</v>
      </c>
      <c r="N116" s="13">
        <v>0</v>
      </c>
      <c r="O116" s="13">
        <v>1</v>
      </c>
      <c r="P116" s="13">
        <v>1</v>
      </c>
      <c r="Q116" s="13">
        <v>0</v>
      </c>
      <c r="R116" s="13"/>
      <c r="S116">
        <f t="shared" si="23"/>
        <v>0</v>
      </c>
      <c r="T116">
        <f t="shared" si="24"/>
        <v>0</v>
      </c>
      <c r="U116">
        <f t="shared" si="25"/>
        <v>1</v>
      </c>
      <c r="V116">
        <f t="shared" si="26"/>
        <v>1</v>
      </c>
      <c r="W116">
        <f t="shared" si="27"/>
        <v>1</v>
      </c>
    </row>
    <row r="117" spans="1:23">
      <c r="A117" s="1">
        <v>8</v>
      </c>
      <c r="B117" s="2" t="s">
        <v>12</v>
      </c>
      <c r="C117" s="10">
        <v>3</v>
      </c>
      <c r="D117" s="2" t="s">
        <v>17</v>
      </c>
      <c r="E117" s="2">
        <v>1</v>
      </c>
      <c r="F117" s="2">
        <v>0</v>
      </c>
      <c r="G117" s="2">
        <v>0</v>
      </c>
      <c r="H117" s="2">
        <v>0</v>
      </c>
      <c r="I117" s="2">
        <v>0</v>
      </c>
      <c r="J117" s="9">
        <f t="shared" si="21"/>
        <v>-3</v>
      </c>
      <c r="K117" s="7">
        <f t="shared" si="28"/>
        <v>0.5</v>
      </c>
      <c r="L117" s="10">
        <v>3</v>
      </c>
      <c r="M117" s="13">
        <v>1</v>
      </c>
      <c r="N117" s="13">
        <v>0</v>
      </c>
      <c r="O117" s="13">
        <v>1</v>
      </c>
      <c r="P117" s="13">
        <v>0</v>
      </c>
      <c r="Q117" s="13">
        <v>0</v>
      </c>
      <c r="R117" s="13"/>
      <c r="S117">
        <f t="shared" si="23"/>
        <v>1</v>
      </c>
      <c r="T117">
        <f t="shared" si="24"/>
        <v>1</v>
      </c>
      <c r="U117">
        <f t="shared" si="25"/>
        <v>0</v>
      </c>
      <c r="V117">
        <f t="shared" si="26"/>
        <v>1</v>
      </c>
      <c r="W117">
        <f t="shared" si="27"/>
        <v>1</v>
      </c>
    </row>
    <row r="118" spans="1:23" hidden="1">
      <c r="A118" s="1">
        <v>8</v>
      </c>
      <c r="B118" s="2" t="s">
        <v>12</v>
      </c>
      <c r="C118" s="10">
        <v>4</v>
      </c>
      <c r="D118" s="2" t="s">
        <v>18</v>
      </c>
      <c r="E118" s="2">
        <v>0</v>
      </c>
      <c r="F118" s="2">
        <v>1</v>
      </c>
      <c r="G118" s="2">
        <v>0</v>
      </c>
      <c r="H118" s="2">
        <v>1</v>
      </c>
      <c r="I118" s="2">
        <v>0</v>
      </c>
      <c r="J118" s="9">
        <f t="shared" si="21"/>
        <v>0</v>
      </c>
      <c r="K118" s="7">
        <f t="shared" si="28"/>
        <v>0.8</v>
      </c>
      <c r="L118" s="10">
        <v>4</v>
      </c>
      <c r="M118" s="13">
        <v>0</v>
      </c>
      <c r="N118" s="13">
        <v>1</v>
      </c>
      <c r="O118" s="13">
        <v>0</v>
      </c>
      <c r="P118" s="13">
        <v>1</v>
      </c>
      <c r="Q118" s="13">
        <v>1</v>
      </c>
      <c r="R118" s="13"/>
      <c r="S118">
        <f t="shared" si="23"/>
        <v>1</v>
      </c>
      <c r="T118">
        <f t="shared" si="24"/>
        <v>1</v>
      </c>
      <c r="U118">
        <f t="shared" si="25"/>
        <v>1</v>
      </c>
      <c r="V118">
        <f t="shared" si="26"/>
        <v>1</v>
      </c>
      <c r="W118">
        <f t="shared" si="27"/>
        <v>0</v>
      </c>
    </row>
    <row r="119" spans="1:23" hidden="1">
      <c r="A119" s="1">
        <v>8</v>
      </c>
      <c r="B119" s="2" t="s">
        <v>12</v>
      </c>
      <c r="C119" s="10">
        <v>5</v>
      </c>
      <c r="D119" s="2" t="s">
        <v>19</v>
      </c>
      <c r="E119" s="2">
        <v>0</v>
      </c>
      <c r="F119" s="2">
        <v>0</v>
      </c>
      <c r="G119" s="2">
        <v>1</v>
      </c>
      <c r="H119" s="2">
        <v>0</v>
      </c>
      <c r="I119" s="2">
        <v>0</v>
      </c>
      <c r="J119" s="9">
        <f t="shared" si="21"/>
        <v>-3</v>
      </c>
      <c r="K119" s="7">
        <f t="shared" si="28"/>
        <v>0.5</v>
      </c>
      <c r="L119" s="10">
        <v>5</v>
      </c>
      <c r="M119" s="13">
        <v>1</v>
      </c>
      <c r="N119" s="13">
        <v>0</v>
      </c>
      <c r="O119" s="13">
        <v>1</v>
      </c>
      <c r="P119" s="13">
        <v>0</v>
      </c>
      <c r="Q119" s="13">
        <v>0</v>
      </c>
      <c r="R119" s="13"/>
      <c r="S119">
        <f t="shared" si="23"/>
        <v>0</v>
      </c>
      <c r="T119">
        <f t="shared" si="24"/>
        <v>1</v>
      </c>
      <c r="U119">
        <f t="shared" si="25"/>
        <v>1</v>
      </c>
      <c r="V119">
        <f t="shared" si="26"/>
        <v>1</v>
      </c>
      <c r="W119">
        <f t="shared" si="27"/>
        <v>1</v>
      </c>
    </row>
    <row r="120" spans="1:23" hidden="1">
      <c r="A120" s="1">
        <v>8</v>
      </c>
      <c r="B120" s="2" t="s">
        <v>12</v>
      </c>
      <c r="C120" s="10">
        <v>6</v>
      </c>
      <c r="D120" s="2" t="s">
        <v>20</v>
      </c>
      <c r="E120" s="2">
        <v>0</v>
      </c>
      <c r="F120" s="2">
        <v>0</v>
      </c>
      <c r="G120" s="2">
        <v>0</v>
      </c>
      <c r="H120" s="2">
        <v>1</v>
      </c>
      <c r="I120" s="2">
        <v>0</v>
      </c>
      <c r="J120" s="9">
        <f t="shared" si="21"/>
        <v>0</v>
      </c>
      <c r="K120" s="7">
        <f t="shared" si="28"/>
        <v>0.6</v>
      </c>
      <c r="L120" s="10">
        <v>6</v>
      </c>
      <c r="M120" s="13">
        <v>1</v>
      </c>
      <c r="N120" s="13">
        <v>0</v>
      </c>
      <c r="O120" s="13">
        <v>1</v>
      </c>
      <c r="P120" s="13">
        <v>1</v>
      </c>
      <c r="Q120" s="13">
        <v>0</v>
      </c>
      <c r="R120" s="13"/>
      <c r="S120">
        <f t="shared" si="23"/>
        <v>0</v>
      </c>
      <c r="T120">
        <f t="shared" si="24"/>
        <v>1</v>
      </c>
      <c r="U120">
        <f t="shared" si="25"/>
        <v>0</v>
      </c>
      <c r="V120">
        <f t="shared" si="26"/>
        <v>1</v>
      </c>
      <c r="W120">
        <f t="shared" si="27"/>
        <v>1</v>
      </c>
    </row>
    <row r="121" spans="1:23" hidden="1">
      <c r="A121" s="1">
        <v>8</v>
      </c>
      <c r="B121" s="2" t="s">
        <v>12</v>
      </c>
      <c r="C121" s="10">
        <v>7</v>
      </c>
      <c r="D121" s="2" t="s">
        <v>21</v>
      </c>
      <c r="E121" s="2">
        <v>1</v>
      </c>
      <c r="F121" s="2">
        <v>0</v>
      </c>
      <c r="G121" s="2">
        <v>1</v>
      </c>
      <c r="H121" s="2">
        <v>0</v>
      </c>
      <c r="I121" s="2">
        <v>0</v>
      </c>
      <c r="J121" s="9">
        <f t="shared" si="21"/>
        <v>-3</v>
      </c>
      <c r="K121" s="7">
        <f t="shared" si="28"/>
        <v>1</v>
      </c>
      <c r="L121" s="10">
        <v>7</v>
      </c>
      <c r="M121" s="13">
        <v>1</v>
      </c>
      <c r="N121" s="13">
        <v>0</v>
      </c>
      <c r="O121" s="13">
        <v>1</v>
      </c>
      <c r="P121" s="13">
        <v>0</v>
      </c>
      <c r="Q121" s="13">
        <v>0</v>
      </c>
      <c r="R121" s="13"/>
      <c r="S121">
        <f t="shared" si="23"/>
        <v>1</v>
      </c>
      <c r="T121">
        <f t="shared" si="24"/>
        <v>1</v>
      </c>
      <c r="U121">
        <f t="shared" si="25"/>
        <v>1</v>
      </c>
      <c r="V121">
        <f t="shared" si="26"/>
        <v>1</v>
      </c>
      <c r="W121">
        <f t="shared" si="27"/>
        <v>1</v>
      </c>
    </row>
    <row r="122" spans="1:23" hidden="1">
      <c r="A122" s="1">
        <v>8</v>
      </c>
      <c r="B122" s="2" t="s">
        <v>12</v>
      </c>
      <c r="C122" s="10">
        <v>8</v>
      </c>
      <c r="D122" s="2" t="s">
        <v>22</v>
      </c>
      <c r="E122" s="2">
        <v>1</v>
      </c>
      <c r="F122" s="2">
        <v>0</v>
      </c>
      <c r="G122" s="2">
        <v>0</v>
      </c>
      <c r="H122" s="2">
        <v>1</v>
      </c>
      <c r="I122" s="2">
        <v>0</v>
      </c>
      <c r="J122" s="9">
        <f t="shared" si="21"/>
        <v>0</v>
      </c>
      <c r="K122" s="7">
        <f t="shared" si="28"/>
        <v>1</v>
      </c>
      <c r="L122" s="10">
        <v>8</v>
      </c>
      <c r="M122" s="13">
        <v>1</v>
      </c>
      <c r="N122" s="13">
        <v>0</v>
      </c>
      <c r="O122" s="13">
        <v>0</v>
      </c>
      <c r="P122" s="13">
        <v>1</v>
      </c>
      <c r="Q122" s="13">
        <v>0</v>
      </c>
      <c r="R122" s="13"/>
      <c r="S122">
        <f t="shared" si="23"/>
        <v>1</v>
      </c>
      <c r="T122">
        <f t="shared" si="24"/>
        <v>1</v>
      </c>
      <c r="U122">
        <f t="shared" si="25"/>
        <v>1</v>
      </c>
      <c r="V122">
        <f t="shared" si="26"/>
        <v>1</v>
      </c>
      <c r="W122">
        <f t="shared" si="27"/>
        <v>1</v>
      </c>
    </row>
    <row r="123" spans="1:23">
      <c r="A123" s="1">
        <v>8</v>
      </c>
      <c r="B123" s="2" t="s">
        <v>12</v>
      </c>
      <c r="C123" s="10">
        <v>9</v>
      </c>
      <c r="D123" s="2" t="s">
        <v>23</v>
      </c>
      <c r="E123" s="2">
        <v>1</v>
      </c>
      <c r="F123" s="2">
        <v>0</v>
      </c>
      <c r="G123" s="2">
        <v>0</v>
      </c>
      <c r="H123" s="2">
        <v>0</v>
      </c>
      <c r="I123" s="2">
        <v>0</v>
      </c>
      <c r="J123" s="9">
        <f t="shared" si="21"/>
        <v>-3</v>
      </c>
      <c r="K123" s="7">
        <f t="shared" si="28"/>
        <v>0.5</v>
      </c>
      <c r="L123" s="10">
        <v>9</v>
      </c>
      <c r="M123" s="13">
        <v>1</v>
      </c>
      <c r="N123" s="13">
        <v>0</v>
      </c>
      <c r="O123" s="13">
        <v>1</v>
      </c>
      <c r="P123" s="13">
        <v>0</v>
      </c>
      <c r="Q123" s="13">
        <v>0</v>
      </c>
      <c r="R123" s="13"/>
      <c r="S123">
        <f t="shared" si="23"/>
        <v>1</v>
      </c>
      <c r="T123">
        <f t="shared" si="24"/>
        <v>1</v>
      </c>
      <c r="U123">
        <f t="shared" si="25"/>
        <v>0</v>
      </c>
      <c r="V123">
        <f t="shared" si="26"/>
        <v>1</v>
      </c>
      <c r="W123">
        <f t="shared" si="27"/>
        <v>1</v>
      </c>
    </row>
    <row r="124" spans="1:23" hidden="1">
      <c r="A124" s="1">
        <v>8</v>
      </c>
      <c r="B124" s="2" t="s">
        <v>12</v>
      </c>
      <c r="C124" s="10">
        <v>10</v>
      </c>
      <c r="D124" s="2" t="s">
        <v>24</v>
      </c>
      <c r="E124" s="2">
        <v>1</v>
      </c>
      <c r="F124" s="2">
        <v>0</v>
      </c>
      <c r="G124" s="2">
        <v>0</v>
      </c>
      <c r="H124" s="2">
        <v>1</v>
      </c>
      <c r="I124" s="2">
        <v>0</v>
      </c>
      <c r="J124" s="9">
        <f t="shared" si="21"/>
        <v>0</v>
      </c>
      <c r="K124" s="7">
        <f t="shared" si="28"/>
        <v>1</v>
      </c>
      <c r="L124" s="10">
        <v>10</v>
      </c>
      <c r="M124" s="13">
        <v>1</v>
      </c>
      <c r="N124" s="13">
        <v>0</v>
      </c>
      <c r="O124" s="13">
        <v>0</v>
      </c>
      <c r="P124" s="13">
        <v>1</v>
      </c>
      <c r="Q124" s="13">
        <v>0</v>
      </c>
      <c r="R124" s="13"/>
      <c r="S124">
        <f t="shared" si="23"/>
        <v>1</v>
      </c>
      <c r="T124">
        <f t="shared" si="24"/>
        <v>1</v>
      </c>
      <c r="U124">
        <f t="shared" si="25"/>
        <v>1</v>
      </c>
      <c r="V124">
        <f t="shared" si="26"/>
        <v>1</v>
      </c>
      <c r="W124">
        <f t="shared" si="27"/>
        <v>1</v>
      </c>
    </row>
    <row r="125" spans="1:23" hidden="1">
      <c r="A125" s="1">
        <v>8</v>
      </c>
      <c r="B125" s="2" t="s">
        <v>12</v>
      </c>
      <c r="C125" s="10">
        <v>11</v>
      </c>
      <c r="D125" s="2" t="s">
        <v>25</v>
      </c>
      <c r="E125" s="2">
        <v>1</v>
      </c>
      <c r="F125" s="2">
        <v>0</v>
      </c>
      <c r="G125" s="2">
        <v>1</v>
      </c>
      <c r="H125" s="2">
        <v>1</v>
      </c>
      <c r="I125" s="2">
        <v>0</v>
      </c>
      <c r="J125" s="9">
        <f t="shared" si="21"/>
        <v>0</v>
      </c>
      <c r="K125" s="7">
        <f t="shared" si="28"/>
        <v>0.8</v>
      </c>
      <c r="L125" s="10">
        <v>11</v>
      </c>
      <c r="M125" s="13">
        <v>1</v>
      </c>
      <c r="N125" s="13">
        <v>0</v>
      </c>
      <c r="O125" s="13">
        <v>0</v>
      </c>
      <c r="P125" s="13">
        <v>1</v>
      </c>
      <c r="Q125" s="13">
        <v>0</v>
      </c>
      <c r="R125" s="13"/>
      <c r="S125">
        <f t="shared" si="23"/>
        <v>1</v>
      </c>
      <c r="T125">
        <f t="shared" si="24"/>
        <v>1</v>
      </c>
      <c r="U125">
        <f t="shared" si="25"/>
        <v>0</v>
      </c>
      <c r="V125">
        <f t="shared" si="26"/>
        <v>1</v>
      </c>
      <c r="W125">
        <f t="shared" si="27"/>
        <v>1</v>
      </c>
    </row>
    <row r="126" spans="1:23" hidden="1">
      <c r="A126" s="1">
        <v>8</v>
      </c>
      <c r="B126" s="2" t="s">
        <v>12</v>
      </c>
      <c r="C126" s="10">
        <v>12</v>
      </c>
      <c r="D126" s="2" t="s">
        <v>26</v>
      </c>
      <c r="E126" s="2">
        <v>1</v>
      </c>
      <c r="F126" s="2">
        <v>0</v>
      </c>
      <c r="G126" s="2">
        <v>0</v>
      </c>
      <c r="H126" s="2">
        <v>0</v>
      </c>
      <c r="I126" s="2">
        <v>0</v>
      </c>
      <c r="J126" s="9">
        <f t="shared" si="21"/>
        <v>-3</v>
      </c>
      <c r="K126" s="7">
        <f t="shared" si="28"/>
        <v>0.5</v>
      </c>
      <c r="L126" s="10">
        <v>12</v>
      </c>
      <c r="M126" s="13">
        <v>1</v>
      </c>
      <c r="N126" s="13">
        <v>0</v>
      </c>
      <c r="O126" s="13">
        <v>1</v>
      </c>
      <c r="P126" s="13">
        <v>0</v>
      </c>
      <c r="Q126" s="13">
        <v>0</v>
      </c>
      <c r="R126" s="13"/>
      <c r="S126">
        <f t="shared" si="23"/>
        <v>1</v>
      </c>
      <c r="T126">
        <f t="shared" si="24"/>
        <v>1</v>
      </c>
      <c r="U126">
        <f t="shared" si="25"/>
        <v>0</v>
      </c>
      <c r="V126">
        <f t="shared" si="26"/>
        <v>1</v>
      </c>
      <c r="W126">
        <f t="shared" si="27"/>
        <v>1</v>
      </c>
    </row>
    <row r="127" spans="1:23" hidden="1">
      <c r="A127" s="1">
        <v>8</v>
      </c>
      <c r="B127" s="2" t="s">
        <v>12</v>
      </c>
      <c r="C127" s="10">
        <v>13</v>
      </c>
      <c r="D127" s="2" t="s">
        <v>27</v>
      </c>
      <c r="E127" s="2">
        <v>0</v>
      </c>
      <c r="F127" s="2">
        <v>1</v>
      </c>
      <c r="G127" s="2">
        <v>0</v>
      </c>
      <c r="H127" s="2">
        <v>1</v>
      </c>
      <c r="I127" s="2">
        <v>0</v>
      </c>
      <c r="J127" s="9">
        <f t="shared" si="21"/>
        <v>0</v>
      </c>
      <c r="K127" s="7">
        <f t="shared" si="28"/>
        <v>0.4</v>
      </c>
      <c r="L127" s="10">
        <v>13</v>
      </c>
      <c r="M127" s="13">
        <v>1</v>
      </c>
      <c r="N127" s="13">
        <v>0</v>
      </c>
      <c r="O127" s="13">
        <v>0</v>
      </c>
      <c r="P127" s="13">
        <v>1</v>
      </c>
      <c r="Q127" s="13">
        <v>1</v>
      </c>
      <c r="R127" s="13"/>
      <c r="S127">
        <f t="shared" si="23"/>
        <v>0</v>
      </c>
      <c r="T127">
        <f t="shared" si="24"/>
        <v>0</v>
      </c>
      <c r="U127">
        <f t="shared" si="25"/>
        <v>1</v>
      </c>
      <c r="V127">
        <f t="shared" si="26"/>
        <v>1</v>
      </c>
      <c r="W127">
        <f t="shared" si="27"/>
        <v>0</v>
      </c>
    </row>
    <row r="128" spans="1:23">
      <c r="A128" s="1">
        <v>8</v>
      </c>
      <c r="B128" s="2" t="s">
        <v>12</v>
      </c>
      <c r="C128" s="10">
        <v>14</v>
      </c>
      <c r="D128" s="2" t="s">
        <v>28</v>
      </c>
      <c r="E128" s="2">
        <v>1</v>
      </c>
      <c r="F128" s="2">
        <v>0</v>
      </c>
      <c r="G128" s="2">
        <v>0</v>
      </c>
      <c r="H128" s="2">
        <v>0</v>
      </c>
      <c r="I128" s="2">
        <v>0</v>
      </c>
      <c r="J128" s="9">
        <f t="shared" si="21"/>
        <v>-3</v>
      </c>
      <c r="K128" s="7">
        <f t="shared" si="28"/>
        <v>0.5</v>
      </c>
      <c r="L128" s="10">
        <v>14</v>
      </c>
      <c r="M128" s="13">
        <v>1</v>
      </c>
      <c r="N128" s="13">
        <v>0</v>
      </c>
      <c r="O128" s="13">
        <v>1</v>
      </c>
      <c r="P128" s="13">
        <v>0</v>
      </c>
      <c r="Q128" s="13">
        <v>0</v>
      </c>
      <c r="R128" s="13"/>
      <c r="S128">
        <f t="shared" si="23"/>
        <v>1</v>
      </c>
      <c r="T128">
        <f t="shared" si="24"/>
        <v>1</v>
      </c>
      <c r="U128">
        <f t="shared" si="25"/>
        <v>0</v>
      </c>
      <c r="V128">
        <f t="shared" si="26"/>
        <v>1</v>
      </c>
      <c r="W128">
        <f t="shared" si="27"/>
        <v>1</v>
      </c>
    </row>
    <row r="129" spans="1:23" hidden="1">
      <c r="A129" s="1">
        <v>8</v>
      </c>
      <c r="B129" s="2" t="s">
        <v>12</v>
      </c>
      <c r="C129" s="10">
        <v>15</v>
      </c>
      <c r="D129" s="2" t="s">
        <v>29</v>
      </c>
      <c r="E129" s="2">
        <v>0</v>
      </c>
      <c r="F129" s="2">
        <v>1</v>
      </c>
      <c r="G129" s="2">
        <v>0</v>
      </c>
      <c r="H129" s="2">
        <v>1</v>
      </c>
      <c r="I129" s="2">
        <v>0</v>
      </c>
      <c r="J129" s="9">
        <f t="shared" si="21"/>
        <v>0</v>
      </c>
      <c r="K129" s="7">
        <f t="shared" si="28"/>
        <v>0.6</v>
      </c>
      <c r="L129" s="10">
        <v>15</v>
      </c>
      <c r="M129" s="13">
        <v>1</v>
      </c>
      <c r="N129" s="13">
        <v>0</v>
      </c>
      <c r="O129" s="13">
        <v>0</v>
      </c>
      <c r="P129" s="13">
        <v>1</v>
      </c>
      <c r="Q129" s="13">
        <v>0</v>
      </c>
      <c r="R129" s="13"/>
      <c r="S129">
        <f t="shared" si="23"/>
        <v>0</v>
      </c>
      <c r="T129">
        <f t="shared" si="24"/>
        <v>0</v>
      </c>
      <c r="U129">
        <f t="shared" si="25"/>
        <v>1</v>
      </c>
      <c r="V129">
        <f t="shared" si="26"/>
        <v>1</v>
      </c>
      <c r="W129">
        <f t="shared" si="27"/>
        <v>1</v>
      </c>
    </row>
    <row r="130" spans="1:23" hidden="1">
      <c r="A130" s="1">
        <v>8</v>
      </c>
      <c r="B130" s="2" t="s">
        <v>30</v>
      </c>
      <c r="C130" s="10">
        <v>16</v>
      </c>
      <c r="D130" s="2" t="s">
        <v>31</v>
      </c>
      <c r="E130" s="2">
        <v>1</v>
      </c>
      <c r="F130" s="2">
        <v>1</v>
      </c>
      <c r="G130" s="2">
        <v>0</v>
      </c>
      <c r="H130" s="2">
        <v>0</v>
      </c>
      <c r="I130" s="2">
        <v>0</v>
      </c>
      <c r="J130" s="9">
        <f t="shared" si="21"/>
        <v>-1</v>
      </c>
      <c r="K130" s="7">
        <f t="shared" si="28"/>
        <v>0.25</v>
      </c>
      <c r="L130" s="10">
        <v>16</v>
      </c>
      <c r="M130" s="13">
        <v>0</v>
      </c>
      <c r="N130" s="13">
        <v>1</v>
      </c>
      <c r="O130" s="13">
        <v>1</v>
      </c>
      <c r="P130" s="13">
        <v>0</v>
      </c>
      <c r="Q130" s="13">
        <v>1</v>
      </c>
      <c r="R130" s="13"/>
      <c r="S130">
        <f t="shared" si="23"/>
        <v>0</v>
      </c>
      <c r="T130">
        <f t="shared" si="24"/>
        <v>1</v>
      </c>
      <c r="U130">
        <f t="shared" si="25"/>
        <v>0</v>
      </c>
      <c r="V130">
        <f t="shared" si="26"/>
        <v>1</v>
      </c>
      <c r="W130">
        <f t="shared" si="27"/>
        <v>0</v>
      </c>
    </row>
    <row r="131" spans="1:23" hidden="1">
      <c r="A131" s="1">
        <v>9</v>
      </c>
      <c r="B131" s="2" t="s">
        <v>12</v>
      </c>
      <c r="C131" s="10">
        <v>1</v>
      </c>
      <c r="D131" s="2" t="s">
        <v>32</v>
      </c>
      <c r="E131" s="2">
        <v>1</v>
      </c>
      <c r="F131" s="2">
        <v>0</v>
      </c>
      <c r="G131" s="2">
        <v>1</v>
      </c>
      <c r="H131" s="2">
        <v>0</v>
      </c>
      <c r="I131" s="2">
        <v>0</v>
      </c>
      <c r="J131" s="9">
        <f t="shared" si="21"/>
        <v>-3</v>
      </c>
      <c r="K131" s="7">
        <f t="shared" si="28"/>
        <v>1</v>
      </c>
      <c r="L131" s="10">
        <v>1</v>
      </c>
      <c r="M131" s="13">
        <v>1</v>
      </c>
      <c r="N131" s="13">
        <v>0</v>
      </c>
      <c r="O131" s="13">
        <v>1</v>
      </c>
      <c r="P131" s="13">
        <v>0</v>
      </c>
      <c r="Q131" s="13">
        <v>0</v>
      </c>
      <c r="R131" s="13"/>
      <c r="S131">
        <f t="shared" ref="S131:S162" si="29">IF(E131=M131, 1, 0)</f>
        <v>1</v>
      </c>
      <c r="T131">
        <f t="shared" ref="T131:T162" si="30">IF(F131=N131, 1, 0)</f>
        <v>1</v>
      </c>
      <c r="U131">
        <f t="shared" ref="U131:U162" si="31">IF(G131=O131, 1, 0)</f>
        <v>1</v>
      </c>
      <c r="V131">
        <f t="shared" ref="V131:V162" si="32">IF(H131=P131, 1, 0)</f>
        <v>1</v>
      </c>
      <c r="W131">
        <f t="shared" ref="W131:W162" si="33">IF(I131=Q131, 1, 0)</f>
        <v>1</v>
      </c>
    </row>
    <row r="132" spans="1:23" hidden="1">
      <c r="A132" s="1">
        <v>9</v>
      </c>
      <c r="B132" s="2" t="s">
        <v>12</v>
      </c>
      <c r="C132" s="10">
        <v>2</v>
      </c>
      <c r="D132" s="2" t="s">
        <v>16</v>
      </c>
      <c r="E132" s="2">
        <v>1</v>
      </c>
      <c r="F132" s="2">
        <v>1</v>
      </c>
      <c r="G132" s="2">
        <v>1</v>
      </c>
      <c r="H132" s="2">
        <v>1</v>
      </c>
      <c r="I132" s="2">
        <v>1</v>
      </c>
      <c r="J132" s="9">
        <f t="shared" ref="J132:J162" si="34">IF(OR(C132=1,C132=3,C132=5,C132=7,C132=9,C132=12,C132=14),-3,IF(OR(C132=2,C132=4,C132=6,C132=8,C132=10,C132=11,C132=13,C132=15),0,-1))</f>
        <v>0</v>
      </c>
      <c r="K132" s="7">
        <f t="shared" si="28"/>
        <v>0.6</v>
      </c>
      <c r="L132" s="10">
        <v>2</v>
      </c>
      <c r="M132" s="13">
        <v>1</v>
      </c>
      <c r="N132" s="13">
        <v>0</v>
      </c>
      <c r="O132" s="13">
        <v>1</v>
      </c>
      <c r="P132" s="13">
        <v>1</v>
      </c>
      <c r="Q132" s="13">
        <v>0</v>
      </c>
      <c r="R132" s="13"/>
      <c r="S132">
        <f t="shared" si="29"/>
        <v>1</v>
      </c>
      <c r="T132">
        <f t="shared" si="30"/>
        <v>0</v>
      </c>
      <c r="U132">
        <f t="shared" si="31"/>
        <v>1</v>
      </c>
      <c r="V132">
        <f t="shared" si="32"/>
        <v>1</v>
      </c>
      <c r="W132">
        <f t="shared" si="33"/>
        <v>0</v>
      </c>
    </row>
    <row r="133" spans="1:23" hidden="1">
      <c r="A133" s="1">
        <v>9</v>
      </c>
      <c r="B133" s="2" t="s">
        <v>12</v>
      </c>
      <c r="C133" s="10">
        <v>3</v>
      </c>
      <c r="D133" s="2" t="s">
        <v>17</v>
      </c>
      <c r="E133" s="2">
        <v>1</v>
      </c>
      <c r="F133" s="2">
        <v>0</v>
      </c>
      <c r="G133" s="2">
        <v>1</v>
      </c>
      <c r="H133" s="2">
        <v>0</v>
      </c>
      <c r="I133" s="2">
        <v>0</v>
      </c>
      <c r="J133" s="9">
        <f t="shared" si="34"/>
        <v>-3</v>
      </c>
      <c r="K133" s="7">
        <f t="shared" ref="K133:K162" si="35">SUM(IF(E133=M133,1,0),IF(F133=N133,1,0),IF(G133=O133,1,0),IF(H133=P133,1,0),IF(I133=Q133,1,0),J133)/IF(OR(C133=1,C133=3,C133=5,C133=7,C133=9,C133=12,C133=14),2,IF(OR(C133=2,C133=4,C133=6,C133=8,C133=10,C133=11,C133=13,C133=15),5,4))</f>
        <v>1</v>
      </c>
      <c r="L133" s="10">
        <v>3</v>
      </c>
      <c r="M133" s="13">
        <v>1</v>
      </c>
      <c r="N133" s="13">
        <v>0</v>
      </c>
      <c r="O133" s="13">
        <v>1</v>
      </c>
      <c r="P133" s="13">
        <v>0</v>
      </c>
      <c r="Q133" s="13">
        <v>0</v>
      </c>
      <c r="R133" s="13"/>
      <c r="S133">
        <f t="shared" si="29"/>
        <v>1</v>
      </c>
      <c r="T133">
        <f t="shared" si="30"/>
        <v>1</v>
      </c>
      <c r="U133">
        <f t="shared" si="31"/>
        <v>1</v>
      </c>
      <c r="V133">
        <f t="shared" si="32"/>
        <v>1</v>
      </c>
      <c r="W133">
        <f t="shared" si="33"/>
        <v>1</v>
      </c>
    </row>
    <row r="134" spans="1:23" hidden="1">
      <c r="A134" s="1">
        <v>9</v>
      </c>
      <c r="B134" s="2" t="s">
        <v>12</v>
      </c>
      <c r="C134" s="10">
        <v>4</v>
      </c>
      <c r="D134" s="2" t="s">
        <v>18</v>
      </c>
      <c r="E134" s="2">
        <v>0</v>
      </c>
      <c r="F134" s="2">
        <v>1</v>
      </c>
      <c r="G134" s="2">
        <v>0</v>
      </c>
      <c r="H134" s="2">
        <v>1</v>
      </c>
      <c r="I134" s="2">
        <v>0</v>
      </c>
      <c r="J134" s="9">
        <f t="shared" si="34"/>
        <v>0</v>
      </c>
      <c r="K134" s="7">
        <f t="shared" si="35"/>
        <v>0.6</v>
      </c>
      <c r="L134" s="10">
        <v>4</v>
      </c>
      <c r="M134" s="13">
        <v>0</v>
      </c>
      <c r="N134" s="13">
        <v>1</v>
      </c>
      <c r="O134" s="13">
        <v>1</v>
      </c>
      <c r="P134" s="13">
        <v>1</v>
      </c>
      <c r="Q134" s="13">
        <v>1</v>
      </c>
      <c r="R134" s="13"/>
      <c r="S134">
        <f t="shared" si="29"/>
        <v>1</v>
      </c>
      <c r="T134">
        <f t="shared" si="30"/>
        <v>1</v>
      </c>
      <c r="U134">
        <f t="shared" si="31"/>
        <v>0</v>
      </c>
      <c r="V134">
        <f t="shared" si="32"/>
        <v>1</v>
      </c>
      <c r="W134">
        <f t="shared" si="33"/>
        <v>0</v>
      </c>
    </row>
    <row r="135" spans="1:23" hidden="1">
      <c r="A135" s="1">
        <v>9</v>
      </c>
      <c r="B135" s="2" t="s">
        <v>12</v>
      </c>
      <c r="C135" s="10">
        <v>5</v>
      </c>
      <c r="D135" s="2" t="s">
        <v>19</v>
      </c>
      <c r="E135" s="2">
        <v>1</v>
      </c>
      <c r="F135" s="2">
        <v>0</v>
      </c>
      <c r="G135" s="2">
        <v>1</v>
      </c>
      <c r="H135" s="2">
        <v>0</v>
      </c>
      <c r="I135" s="2">
        <v>0</v>
      </c>
      <c r="J135" s="9">
        <f t="shared" si="34"/>
        <v>-3</v>
      </c>
      <c r="K135" s="7">
        <f t="shared" si="35"/>
        <v>1</v>
      </c>
      <c r="L135" s="10">
        <v>5</v>
      </c>
      <c r="M135" s="13">
        <v>1</v>
      </c>
      <c r="N135" s="13">
        <v>0</v>
      </c>
      <c r="O135" s="13">
        <v>1</v>
      </c>
      <c r="P135" s="13">
        <v>0</v>
      </c>
      <c r="Q135" s="13">
        <v>0</v>
      </c>
      <c r="R135" s="13"/>
      <c r="S135">
        <f t="shared" si="29"/>
        <v>1</v>
      </c>
      <c r="T135">
        <f t="shared" si="30"/>
        <v>1</v>
      </c>
      <c r="U135">
        <f t="shared" si="31"/>
        <v>1</v>
      </c>
      <c r="V135">
        <f t="shared" si="32"/>
        <v>1</v>
      </c>
      <c r="W135">
        <f t="shared" si="33"/>
        <v>1</v>
      </c>
    </row>
    <row r="136" spans="1:23" hidden="1">
      <c r="A136" s="1">
        <v>9</v>
      </c>
      <c r="B136" s="2" t="s">
        <v>12</v>
      </c>
      <c r="C136" s="10">
        <v>6</v>
      </c>
      <c r="D136" s="2" t="s">
        <v>20</v>
      </c>
      <c r="E136" s="2">
        <v>0</v>
      </c>
      <c r="F136" s="2">
        <v>0</v>
      </c>
      <c r="G136" s="2">
        <v>0</v>
      </c>
      <c r="H136" s="2">
        <v>1</v>
      </c>
      <c r="I136" s="2">
        <v>0</v>
      </c>
      <c r="J136" s="9">
        <f t="shared" si="34"/>
        <v>0</v>
      </c>
      <c r="K136" s="7">
        <f t="shared" si="35"/>
        <v>0.8</v>
      </c>
      <c r="L136" s="10">
        <v>6</v>
      </c>
      <c r="M136" s="13">
        <v>0</v>
      </c>
      <c r="N136" s="13">
        <v>1</v>
      </c>
      <c r="O136" s="13">
        <v>0</v>
      </c>
      <c r="P136" s="13">
        <v>1</v>
      </c>
      <c r="Q136" s="13">
        <v>0</v>
      </c>
      <c r="R136" s="13"/>
      <c r="S136">
        <f t="shared" si="29"/>
        <v>1</v>
      </c>
      <c r="T136">
        <f t="shared" si="30"/>
        <v>0</v>
      </c>
      <c r="U136">
        <f t="shared" si="31"/>
        <v>1</v>
      </c>
      <c r="V136">
        <f t="shared" si="32"/>
        <v>1</v>
      </c>
      <c r="W136">
        <f t="shared" si="33"/>
        <v>1</v>
      </c>
    </row>
    <row r="137" spans="1:23" hidden="1">
      <c r="A137" s="1">
        <v>9</v>
      </c>
      <c r="B137" s="2" t="s">
        <v>12</v>
      </c>
      <c r="C137" s="10">
        <v>7</v>
      </c>
      <c r="D137" s="2" t="s">
        <v>21</v>
      </c>
      <c r="E137" s="2">
        <v>1</v>
      </c>
      <c r="F137" s="2">
        <v>0</v>
      </c>
      <c r="G137" s="2">
        <v>1</v>
      </c>
      <c r="H137" s="2">
        <v>0</v>
      </c>
      <c r="I137" s="2">
        <v>0</v>
      </c>
      <c r="J137" s="9">
        <f t="shared" si="34"/>
        <v>-3</v>
      </c>
      <c r="K137" s="7">
        <f t="shared" si="35"/>
        <v>1</v>
      </c>
      <c r="L137" s="10">
        <v>7</v>
      </c>
      <c r="M137" s="13">
        <v>1</v>
      </c>
      <c r="N137" s="13">
        <v>0</v>
      </c>
      <c r="O137" s="13">
        <v>1</v>
      </c>
      <c r="P137" s="13">
        <v>0</v>
      </c>
      <c r="Q137" s="13">
        <v>0</v>
      </c>
      <c r="R137" s="13"/>
      <c r="S137">
        <f t="shared" si="29"/>
        <v>1</v>
      </c>
      <c r="T137">
        <f t="shared" si="30"/>
        <v>1</v>
      </c>
      <c r="U137">
        <f t="shared" si="31"/>
        <v>1</v>
      </c>
      <c r="V137">
        <f t="shared" si="32"/>
        <v>1</v>
      </c>
      <c r="W137">
        <f t="shared" si="33"/>
        <v>1</v>
      </c>
    </row>
    <row r="138" spans="1:23" hidden="1">
      <c r="A138" s="1">
        <v>9</v>
      </c>
      <c r="B138" s="2" t="s">
        <v>12</v>
      </c>
      <c r="C138" s="10">
        <v>8</v>
      </c>
      <c r="D138" s="2" t="s">
        <v>22</v>
      </c>
      <c r="E138" s="2">
        <v>1</v>
      </c>
      <c r="F138" s="2">
        <v>1</v>
      </c>
      <c r="G138" s="2">
        <v>0</v>
      </c>
      <c r="H138" s="2">
        <v>1</v>
      </c>
      <c r="I138" s="2">
        <v>0</v>
      </c>
      <c r="J138" s="9">
        <f t="shared" si="34"/>
        <v>0</v>
      </c>
      <c r="K138" s="7">
        <f t="shared" si="35"/>
        <v>0.8</v>
      </c>
      <c r="L138" s="10">
        <v>8</v>
      </c>
      <c r="M138" s="13">
        <v>1</v>
      </c>
      <c r="N138" s="13">
        <v>0</v>
      </c>
      <c r="O138" s="13">
        <v>0</v>
      </c>
      <c r="P138" s="13">
        <v>1</v>
      </c>
      <c r="Q138" s="13">
        <v>0</v>
      </c>
      <c r="R138" s="13"/>
      <c r="S138">
        <f t="shared" si="29"/>
        <v>1</v>
      </c>
      <c r="T138">
        <f t="shared" si="30"/>
        <v>0</v>
      </c>
      <c r="U138">
        <f t="shared" si="31"/>
        <v>1</v>
      </c>
      <c r="V138">
        <f t="shared" si="32"/>
        <v>1</v>
      </c>
      <c r="W138">
        <f t="shared" si="33"/>
        <v>1</v>
      </c>
    </row>
    <row r="139" spans="1:23" hidden="1">
      <c r="A139" s="1">
        <v>9</v>
      </c>
      <c r="B139" s="2" t="s">
        <v>12</v>
      </c>
      <c r="C139" s="10">
        <v>9</v>
      </c>
      <c r="D139" s="2" t="s">
        <v>23</v>
      </c>
      <c r="E139" s="2">
        <v>1</v>
      </c>
      <c r="F139" s="2">
        <v>0</v>
      </c>
      <c r="G139" s="2">
        <v>1</v>
      </c>
      <c r="H139" s="2">
        <v>0</v>
      </c>
      <c r="I139" s="2">
        <v>0</v>
      </c>
      <c r="J139" s="9">
        <f t="shared" si="34"/>
        <v>-3</v>
      </c>
      <c r="K139" s="7">
        <f t="shared" si="35"/>
        <v>1</v>
      </c>
      <c r="L139" s="10">
        <v>9</v>
      </c>
      <c r="M139" s="13">
        <v>1</v>
      </c>
      <c r="N139" s="13">
        <v>0</v>
      </c>
      <c r="O139" s="13">
        <v>1</v>
      </c>
      <c r="P139" s="13">
        <v>0</v>
      </c>
      <c r="Q139" s="13">
        <v>0</v>
      </c>
      <c r="R139" s="13"/>
      <c r="S139">
        <f t="shared" si="29"/>
        <v>1</v>
      </c>
      <c r="T139">
        <f t="shared" si="30"/>
        <v>1</v>
      </c>
      <c r="U139">
        <f t="shared" si="31"/>
        <v>1</v>
      </c>
      <c r="V139">
        <f t="shared" si="32"/>
        <v>1</v>
      </c>
      <c r="W139">
        <f t="shared" si="33"/>
        <v>1</v>
      </c>
    </row>
    <row r="140" spans="1:23" hidden="1">
      <c r="A140" s="1">
        <v>9</v>
      </c>
      <c r="B140" s="2" t="s">
        <v>12</v>
      </c>
      <c r="C140" s="10">
        <v>10</v>
      </c>
      <c r="D140" s="2" t="s">
        <v>24</v>
      </c>
      <c r="E140" s="2">
        <v>0</v>
      </c>
      <c r="F140" s="2">
        <v>1</v>
      </c>
      <c r="G140" s="2">
        <v>0</v>
      </c>
      <c r="H140" s="2">
        <v>1</v>
      </c>
      <c r="I140" s="2">
        <v>0</v>
      </c>
      <c r="J140" s="9">
        <f t="shared" si="34"/>
        <v>0</v>
      </c>
      <c r="K140" s="7">
        <f t="shared" si="35"/>
        <v>1</v>
      </c>
      <c r="L140" s="10">
        <v>10</v>
      </c>
      <c r="M140" s="13">
        <v>0</v>
      </c>
      <c r="N140" s="13">
        <v>1</v>
      </c>
      <c r="O140" s="13">
        <v>0</v>
      </c>
      <c r="P140" s="13">
        <v>1</v>
      </c>
      <c r="Q140" s="13">
        <v>0</v>
      </c>
      <c r="R140" s="13"/>
      <c r="S140">
        <f t="shared" si="29"/>
        <v>1</v>
      </c>
      <c r="T140">
        <f t="shared" si="30"/>
        <v>1</v>
      </c>
      <c r="U140">
        <f t="shared" si="31"/>
        <v>1</v>
      </c>
      <c r="V140">
        <f t="shared" si="32"/>
        <v>1</v>
      </c>
      <c r="W140">
        <f t="shared" si="33"/>
        <v>1</v>
      </c>
    </row>
    <row r="141" spans="1:23" hidden="1">
      <c r="A141" s="1">
        <v>9</v>
      </c>
      <c r="B141" s="2" t="s">
        <v>12</v>
      </c>
      <c r="C141" s="10">
        <v>11</v>
      </c>
      <c r="D141" s="2" t="s">
        <v>25</v>
      </c>
      <c r="E141" s="2">
        <v>1</v>
      </c>
      <c r="F141" s="2">
        <v>1</v>
      </c>
      <c r="G141" s="2">
        <v>1</v>
      </c>
      <c r="H141" s="2">
        <v>1</v>
      </c>
      <c r="I141" s="2">
        <v>0</v>
      </c>
      <c r="J141" s="9">
        <f t="shared" si="34"/>
        <v>0</v>
      </c>
      <c r="K141" s="7">
        <f t="shared" si="35"/>
        <v>0.6</v>
      </c>
      <c r="L141" s="10">
        <v>11</v>
      </c>
      <c r="M141" s="13">
        <v>0</v>
      </c>
      <c r="N141" s="13">
        <v>1</v>
      </c>
      <c r="O141" s="13">
        <v>0</v>
      </c>
      <c r="P141" s="13">
        <v>1</v>
      </c>
      <c r="Q141" s="13">
        <v>0</v>
      </c>
      <c r="R141" s="13"/>
      <c r="S141">
        <f t="shared" si="29"/>
        <v>0</v>
      </c>
      <c r="T141">
        <f t="shared" si="30"/>
        <v>1</v>
      </c>
      <c r="U141">
        <f t="shared" si="31"/>
        <v>0</v>
      </c>
      <c r="V141">
        <f t="shared" si="32"/>
        <v>1</v>
      </c>
      <c r="W141">
        <f t="shared" si="33"/>
        <v>1</v>
      </c>
    </row>
    <row r="142" spans="1:23" hidden="1">
      <c r="A142" s="1">
        <v>9</v>
      </c>
      <c r="B142" s="2" t="s">
        <v>12</v>
      </c>
      <c r="C142" s="10">
        <v>12</v>
      </c>
      <c r="D142" s="2" t="s">
        <v>26</v>
      </c>
      <c r="E142" s="2">
        <v>1</v>
      </c>
      <c r="F142" s="2">
        <v>0</v>
      </c>
      <c r="G142" s="2">
        <v>1</v>
      </c>
      <c r="H142" s="2">
        <v>0</v>
      </c>
      <c r="I142" s="2">
        <v>0</v>
      </c>
      <c r="J142" s="9">
        <f t="shared" si="34"/>
        <v>-3</v>
      </c>
      <c r="K142" s="7">
        <f t="shared" si="35"/>
        <v>1</v>
      </c>
      <c r="L142" s="10">
        <v>12</v>
      </c>
      <c r="M142" s="13">
        <v>1</v>
      </c>
      <c r="N142" s="13">
        <v>0</v>
      </c>
      <c r="O142" s="13">
        <v>1</v>
      </c>
      <c r="P142" s="13">
        <v>0</v>
      </c>
      <c r="Q142" s="13">
        <v>0</v>
      </c>
      <c r="R142" s="13"/>
      <c r="S142">
        <f t="shared" si="29"/>
        <v>1</v>
      </c>
      <c r="T142">
        <f t="shared" si="30"/>
        <v>1</v>
      </c>
      <c r="U142">
        <f t="shared" si="31"/>
        <v>1</v>
      </c>
      <c r="V142">
        <f t="shared" si="32"/>
        <v>1</v>
      </c>
      <c r="W142">
        <f t="shared" si="33"/>
        <v>1</v>
      </c>
    </row>
    <row r="143" spans="1:23" hidden="1">
      <c r="A143" s="1">
        <v>9</v>
      </c>
      <c r="B143" s="2" t="s">
        <v>12</v>
      </c>
      <c r="C143" s="10">
        <v>13</v>
      </c>
      <c r="D143" s="2" t="s">
        <v>27</v>
      </c>
      <c r="E143" s="2">
        <v>0</v>
      </c>
      <c r="F143" s="2">
        <v>1</v>
      </c>
      <c r="G143" s="2">
        <v>0</v>
      </c>
      <c r="H143" s="2">
        <v>1</v>
      </c>
      <c r="I143" s="2">
        <v>1</v>
      </c>
      <c r="J143" s="9">
        <f t="shared" si="34"/>
        <v>0</v>
      </c>
      <c r="K143" s="7">
        <f t="shared" si="35"/>
        <v>0.8</v>
      </c>
      <c r="L143" s="10">
        <v>13</v>
      </c>
      <c r="M143" s="13">
        <v>0</v>
      </c>
      <c r="N143" s="13">
        <v>1</v>
      </c>
      <c r="O143" s="13">
        <v>1</v>
      </c>
      <c r="P143" s="13">
        <v>1</v>
      </c>
      <c r="Q143" s="13">
        <v>1</v>
      </c>
      <c r="R143" s="13"/>
      <c r="S143">
        <f t="shared" si="29"/>
        <v>1</v>
      </c>
      <c r="T143">
        <f t="shared" si="30"/>
        <v>1</v>
      </c>
      <c r="U143">
        <f t="shared" si="31"/>
        <v>0</v>
      </c>
      <c r="V143">
        <f t="shared" si="32"/>
        <v>1</v>
      </c>
      <c r="W143">
        <f t="shared" si="33"/>
        <v>1</v>
      </c>
    </row>
    <row r="144" spans="1:23" hidden="1">
      <c r="A144" s="1">
        <v>9</v>
      </c>
      <c r="B144" s="2" t="s">
        <v>12</v>
      </c>
      <c r="C144" s="10">
        <v>14</v>
      </c>
      <c r="D144" s="2" t="s">
        <v>28</v>
      </c>
      <c r="E144" s="2">
        <v>1</v>
      </c>
      <c r="F144" s="2">
        <v>0</v>
      </c>
      <c r="G144" s="2">
        <v>1</v>
      </c>
      <c r="H144" s="2">
        <v>0</v>
      </c>
      <c r="I144" s="2">
        <v>0</v>
      </c>
      <c r="J144" s="9">
        <f t="shared" si="34"/>
        <v>-3</v>
      </c>
      <c r="K144" s="7">
        <f t="shared" si="35"/>
        <v>1</v>
      </c>
      <c r="L144" s="10">
        <v>14</v>
      </c>
      <c r="M144" s="13">
        <v>1</v>
      </c>
      <c r="N144" s="13">
        <v>0</v>
      </c>
      <c r="O144" s="13">
        <v>1</v>
      </c>
      <c r="P144" s="13">
        <v>0</v>
      </c>
      <c r="Q144" s="13">
        <v>0</v>
      </c>
      <c r="R144" s="13"/>
      <c r="S144">
        <f t="shared" si="29"/>
        <v>1</v>
      </c>
      <c r="T144">
        <f t="shared" si="30"/>
        <v>1</v>
      </c>
      <c r="U144">
        <f t="shared" si="31"/>
        <v>1</v>
      </c>
      <c r="V144">
        <f t="shared" si="32"/>
        <v>1</v>
      </c>
      <c r="W144">
        <f t="shared" si="33"/>
        <v>1</v>
      </c>
    </row>
    <row r="145" spans="1:23" hidden="1">
      <c r="A145" s="1">
        <v>9</v>
      </c>
      <c r="B145" s="2" t="s">
        <v>12</v>
      </c>
      <c r="C145" s="10">
        <v>15</v>
      </c>
      <c r="D145" s="2" t="s">
        <v>29</v>
      </c>
      <c r="E145" s="2">
        <v>0</v>
      </c>
      <c r="F145" s="2">
        <v>1</v>
      </c>
      <c r="G145" s="2">
        <v>0</v>
      </c>
      <c r="H145" s="2">
        <v>1</v>
      </c>
      <c r="I145" s="2">
        <v>0</v>
      </c>
      <c r="J145" s="9">
        <f t="shared" si="34"/>
        <v>0</v>
      </c>
      <c r="K145" s="7">
        <f t="shared" si="35"/>
        <v>0.6</v>
      </c>
      <c r="L145" s="10">
        <v>15</v>
      </c>
      <c r="M145" s="13">
        <v>0</v>
      </c>
      <c r="N145" s="13">
        <v>1</v>
      </c>
      <c r="O145" s="13">
        <v>1</v>
      </c>
      <c r="P145" s="13">
        <v>1</v>
      </c>
      <c r="Q145" s="13">
        <v>1</v>
      </c>
      <c r="R145" s="13"/>
      <c r="S145">
        <f t="shared" si="29"/>
        <v>1</v>
      </c>
      <c r="T145">
        <f t="shared" si="30"/>
        <v>1</v>
      </c>
      <c r="U145">
        <f t="shared" si="31"/>
        <v>0</v>
      </c>
      <c r="V145">
        <f t="shared" si="32"/>
        <v>1</v>
      </c>
      <c r="W145">
        <f t="shared" si="33"/>
        <v>0</v>
      </c>
    </row>
    <row r="146" spans="1:23" hidden="1">
      <c r="A146" s="1">
        <v>9</v>
      </c>
      <c r="B146" s="2" t="s">
        <v>30</v>
      </c>
      <c r="C146" s="10">
        <v>16</v>
      </c>
      <c r="D146" s="2" t="s">
        <v>31</v>
      </c>
      <c r="E146" s="2">
        <v>0</v>
      </c>
      <c r="F146" s="2">
        <v>1</v>
      </c>
      <c r="G146" s="2">
        <v>0</v>
      </c>
      <c r="H146" s="2">
        <v>0</v>
      </c>
      <c r="I146" s="2">
        <v>1</v>
      </c>
      <c r="J146" s="9">
        <f t="shared" si="34"/>
        <v>-1</v>
      </c>
      <c r="K146" s="7">
        <f t="shared" si="35"/>
        <v>0.75</v>
      </c>
      <c r="L146" s="10">
        <v>16</v>
      </c>
      <c r="M146" s="13">
        <v>0</v>
      </c>
      <c r="N146" s="13">
        <v>1</v>
      </c>
      <c r="O146" s="13">
        <v>1</v>
      </c>
      <c r="P146" s="13">
        <v>0</v>
      </c>
      <c r="Q146" s="13">
        <v>1</v>
      </c>
      <c r="R146" s="13"/>
      <c r="S146">
        <f t="shared" si="29"/>
        <v>1</v>
      </c>
      <c r="T146">
        <f t="shared" si="30"/>
        <v>1</v>
      </c>
      <c r="U146">
        <f t="shared" si="31"/>
        <v>0</v>
      </c>
      <c r="V146">
        <f t="shared" si="32"/>
        <v>1</v>
      </c>
      <c r="W146">
        <f t="shared" si="33"/>
        <v>1</v>
      </c>
    </row>
    <row r="147" spans="1:23" hidden="1">
      <c r="A147" s="1">
        <v>10</v>
      </c>
      <c r="B147" s="2" t="s">
        <v>12</v>
      </c>
      <c r="C147" s="10">
        <v>1</v>
      </c>
      <c r="D147" s="2" t="s">
        <v>32</v>
      </c>
      <c r="E147" s="2">
        <v>1</v>
      </c>
      <c r="F147" s="2">
        <v>0</v>
      </c>
      <c r="G147" s="2">
        <v>1</v>
      </c>
      <c r="H147" s="2">
        <v>0</v>
      </c>
      <c r="I147" s="2">
        <v>0</v>
      </c>
      <c r="J147" s="9">
        <f t="shared" si="34"/>
        <v>-3</v>
      </c>
      <c r="K147" s="7">
        <f t="shared" si="35"/>
        <v>1</v>
      </c>
      <c r="L147" s="10">
        <v>1</v>
      </c>
      <c r="M147" s="13">
        <v>1</v>
      </c>
      <c r="N147" s="13">
        <v>0</v>
      </c>
      <c r="O147" s="13">
        <v>1</v>
      </c>
      <c r="P147" s="13">
        <v>0</v>
      </c>
      <c r="Q147" s="13">
        <v>0</v>
      </c>
      <c r="R147" s="13"/>
      <c r="S147">
        <f t="shared" si="29"/>
        <v>1</v>
      </c>
      <c r="T147">
        <f t="shared" si="30"/>
        <v>1</v>
      </c>
      <c r="U147">
        <f t="shared" si="31"/>
        <v>1</v>
      </c>
      <c r="V147">
        <f t="shared" si="32"/>
        <v>1</v>
      </c>
      <c r="W147">
        <f t="shared" si="33"/>
        <v>1</v>
      </c>
    </row>
    <row r="148" spans="1:23" hidden="1">
      <c r="A148" s="1">
        <v>10</v>
      </c>
      <c r="B148" s="2" t="s">
        <v>12</v>
      </c>
      <c r="C148" s="10">
        <v>2</v>
      </c>
      <c r="D148" s="2" t="s">
        <v>16</v>
      </c>
      <c r="E148" s="2">
        <v>0</v>
      </c>
      <c r="F148" s="2">
        <v>0</v>
      </c>
      <c r="G148" s="2">
        <v>0</v>
      </c>
      <c r="H148" s="2">
        <v>1</v>
      </c>
      <c r="I148" s="2">
        <v>0</v>
      </c>
      <c r="J148" s="9">
        <f t="shared" si="34"/>
        <v>0</v>
      </c>
      <c r="K148" s="7">
        <f t="shared" si="35"/>
        <v>0.6</v>
      </c>
      <c r="L148" s="10">
        <v>2</v>
      </c>
      <c r="M148" s="13">
        <v>1</v>
      </c>
      <c r="N148" s="13">
        <v>0</v>
      </c>
      <c r="O148" s="13">
        <v>1</v>
      </c>
      <c r="P148" s="13">
        <v>1</v>
      </c>
      <c r="Q148" s="13">
        <v>0</v>
      </c>
      <c r="R148" s="13"/>
      <c r="S148">
        <f t="shared" si="29"/>
        <v>0</v>
      </c>
      <c r="T148">
        <f t="shared" si="30"/>
        <v>1</v>
      </c>
      <c r="U148">
        <f t="shared" si="31"/>
        <v>0</v>
      </c>
      <c r="V148">
        <f t="shared" si="32"/>
        <v>1</v>
      </c>
      <c r="W148">
        <f t="shared" si="33"/>
        <v>1</v>
      </c>
    </row>
    <row r="149" spans="1:23">
      <c r="A149" s="1">
        <v>10</v>
      </c>
      <c r="B149" s="2" t="s">
        <v>12</v>
      </c>
      <c r="C149" s="10">
        <v>3</v>
      </c>
      <c r="D149" s="2" t="s">
        <v>17</v>
      </c>
      <c r="E149" s="2">
        <v>1</v>
      </c>
      <c r="F149" s="2">
        <v>0</v>
      </c>
      <c r="G149" s="2">
        <v>0</v>
      </c>
      <c r="H149" s="2">
        <v>0</v>
      </c>
      <c r="I149" s="2">
        <v>0</v>
      </c>
      <c r="J149" s="9">
        <f t="shared" si="34"/>
        <v>-3</v>
      </c>
      <c r="K149" s="7">
        <f t="shared" si="35"/>
        <v>0.5</v>
      </c>
      <c r="L149" s="10">
        <v>3</v>
      </c>
      <c r="M149" s="13">
        <v>1</v>
      </c>
      <c r="N149" s="13">
        <v>0</v>
      </c>
      <c r="O149" s="13">
        <v>1</v>
      </c>
      <c r="P149" s="13">
        <v>0</v>
      </c>
      <c r="Q149" s="13">
        <v>0</v>
      </c>
      <c r="R149" s="13"/>
      <c r="S149">
        <f t="shared" si="29"/>
        <v>1</v>
      </c>
      <c r="T149">
        <f t="shared" si="30"/>
        <v>1</v>
      </c>
      <c r="U149">
        <f t="shared" si="31"/>
        <v>0</v>
      </c>
      <c r="V149">
        <f t="shared" si="32"/>
        <v>1</v>
      </c>
      <c r="W149">
        <f t="shared" si="33"/>
        <v>1</v>
      </c>
    </row>
    <row r="150" spans="1:23" hidden="1">
      <c r="A150" s="1">
        <v>10</v>
      </c>
      <c r="B150" s="2" t="s">
        <v>12</v>
      </c>
      <c r="C150" s="10">
        <v>4</v>
      </c>
      <c r="D150" s="2" t="s">
        <v>18</v>
      </c>
      <c r="E150" s="2">
        <v>0</v>
      </c>
      <c r="F150" s="2">
        <v>0</v>
      </c>
      <c r="G150" s="2">
        <v>0</v>
      </c>
      <c r="H150" s="2">
        <v>1</v>
      </c>
      <c r="I150" s="2">
        <v>0</v>
      </c>
      <c r="J150" s="9">
        <f t="shared" si="34"/>
        <v>0</v>
      </c>
      <c r="K150" s="7">
        <f t="shared" si="35"/>
        <v>0.8</v>
      </c>
      <c r="L150" s="10">
        <v>4</v>
      </c>
      <c r="M150" s="18">
        <v>1</v>
      </c>
      <c r="N150" s="13">
        <v>0</v>
      </c>
      <c r="O150" s="13">
        <v>0</v>
      </c>
      <c r="P150" s="13">
        <v>1</v>
      </c>
      <c r="Q150" s="13">
        <v>0</v>
      </c>
      <c r="R150" s="13"/>
      <c r="S150">
        <f t="shared" si="29"/>
        <v>0</v>
      </c>
      <c r="T150">
        <f t="shared" si="30"/>
        <v>1</v>
      </c>
      <c r="U150">
        <f t="shared" si="31"/>
        <v>1</v>
      </c>
      <c r="V150">
        <f t="shared" si="32"/>
        <v>1</v>
      </c>
      <c r="W150">
        <f t="shared" si="33"/>
        <v>1</v>
      </c>
    </row>
    <row r="151" spans="1:23">
      <c r="A151" s="1">
        <v>10</v>
      </c>
      <c r="B151" s="2" t="s">
        <v>12</v>
      </c>
      <c r="C151" s="10">
        <v>5</v>
      </c>
      <c r="D151" s="2" t="s">
        <v>19</v>
      </c>
      <c r="E151" s="2">
        <v>1</v>
      </c>
      <c r="F151" s="2">
        <v>0</v>
      </c>
      <c r="G151" s="2">
        <v>0</v>
      </c>
      <c r="H151" s="2">
        <v>0</v>
      </c>
      <c r="I151" s="2">
        <v>0</v>
      </c>
      <c r="J151" s="9">
        <f t="shared" si="34"/>
        <v>-3</v>
      </c>
      <c r="K151" s="7">
        <f t="shared" si="35"/>
        <v>0.5</v>
      </c>
      <c r="L151" s="10">
        <v>5</v>
      </c>
      <c r="M151" s="13">
        <v>1</v>
      </c>
      <c r="N151" s="13">
        <v>0</v>
      </c>
      <c r="O151" s="13">
        <v>1</v>
      </c>
      <c r="P151" s="13">
        <v>0</v>
      </c>
      <c r="Q151" s="13">
        <v>0</v>
      </c>
      <c r="R151" s="13"/>
      <c r="S151">
        <f t="shared" si="29"/>
        <v>1</v>
      </c>
      <c r="T151">
        <f t="shared" si="30"/>
        <v>1</v>
      </c>
      <c r="U151">
        <f t="shared" si="31"/>
        <v>0</v>
      </c>
      <c r="V151">
        <f t="shared" si="32"/>
        <v>1</v>
      </c>
      <c r="W151">
        <f t="shared" si="33"/>
        <v>1</v>
      </c>
    </row>
    <row r="152" spans="1:23" hidden="1">
      <c r="A152" s="1">
        <v>10</v>
      </c>
      <c r="B152" s="2" t="s">
        <v>12</v>
      </c>
      <c r="C152" s="10">
        <v>6</v>
      </c>
      <c r="D152" s="2" t="s">
        <v>20</v>
      </c>
      <c r="E152" s="2">
        <v>0</v>
      </c>
      <c r="F152" s="2">
        <v>0</v>
      </c>
      <c r="G152" s="2">
        <v>0</v>
      </c>
      <c r="H152" s="2">
        <v>1</v>
      </c>
      <c r="I152" s="2">
        <v>0</v>
      </c>
      <c r="J152" s="9">
        <f t="shared" si="34"/>
        <v>0</v>
      </c>
      <c r="K152" s="7">
        <f t="shared" si="35"/>
        <v>0.8</v>
      </c>
      <c r="L152" s="10">
        <v>6</v>
      </c>
      <c r="M152" s="13">
        <v>1</v>
      </c>
      <c r="N152" s="13">
        <v>0</v>
      </c>
      <c r="O152" s="13">
        <v>0</v>
      </c>
      <c r="P152" s="13">
        <v>1</v>
      </c>
      <c r="Q152" s="13">
        <v>0</v>
      </c>
      <c r="R152" s="13"/>
      <c r="S152">
        <f t="shared" si="29"/>
        <v>0</v>
      </c>
      <c r="T152">
        <f t="shared" si="30"/>
        <v>1</v>
      </c>
      <c r="U152">
        <f t="shared" si="31"/>
        <v>1</v>
      </c>
      <c r="V152">
        <f t="shared" si="32"/>
        <v>1</v>
      </c>
      <c r="W152">
        <f t="shared" si="33"/>
        <v>1</v>
      </c>
    </row>
    <row r="153" spans="1:23">
      <c r="A153" s="1">
        <v>10</v>
      </c>
      <c r="B153" s="2" t="s">
        <v>12</v>
      </c>
      <c r="C153" s="10">
        <v>7</v>
      </c>
      <c r="D153" s="2" t="s">
        <v>21</v>
      </c>
      <c r="E153" s="2">
        <v>1</v>
      </c>
      <c r="F153" s="2">
        <v>0</v>
      </c>
      <c r="G153" s="2">
        <v>0</v>
      </c>
      <c r="H153" s="2">
        <v>0</v>
      </c>
      <c r="I153" s="2">
        <v>0</v>
      </c>
      <c r="J153" s="9">
        <f t="shared" si="34"/>
        <v>-3</v>
      </c>
      <c r="K153" s="7">
        <f t="shared" si="35"/>
        <v>0.5</v>
      </c>
      <c r="L153" s="10">
        <v>7</v>
      </c>
      <c r="M153" s="13">
        <v>1</v>
      </c>
      <c r="N153" s="13">
        <v>0</v>
      </c>
      <c r="O153" s="13">
        <v>1</v>
      </c>
      <c r="P153" s="13">
        <v>0</v>
      </c>
      <c r="Q153" s="13">
        <v>0</v>
      </c>
      <c r="R153" s="13"/>
      <c r="S153">
        <f t="shared" si="29"/>
        <v>1</v>
      </c>
      <c r="T153">
        <f t="shared" si="30"/>
        <v>1</v>
      </c>
      <c r="U153">
        <f t="shared" si="31"/>
        <v>0</v>
      </c>
      <c r="V153">
        <f t="shared" si="32"/>
        <v>1</v>
      </c>
      <c r="W153">
        <f t="shared" si="33"/>
        <v>1</v>
      </c>
    </row>
    <row r="154" spans="1:23" hidden="1">
      <c r="A154" s="1">
        <v>10</v>
      </c>
      <c r="B154" s="2" t="s">
        <v>12</v>
      </c>
      <c r="C154" s="10">
        <v>8</v>
      </c>
      <c r="D154" s="2" t="s">
        <v>22</v>
      </c>
      <c r="E154" s="2">
        <v>0</v>
      </c>
      <c r="F154" s="2">
        <v>0</v>
      </c>
      <c r="G154" s="2">
        <v>0</v>
      </c>
      <c r="H154" s="2">
        <v>1</v>
      </c>
      <c r="I154" s="2">
        <v>0</v>
      </c>
      <c r="J154" s="9">
        <f t="shared" si="34"/>
        <v>0</v>
      </c>
      <c r="K154" s="7">
        <f t="shared" si="35"/>
        <v>0.8</v>
      </c>
      <c r="L154" s="10">
        <v>8</v>
      </c>
      <c r="M154" s="13">
        <v>1</v>
      </c>
      <c r="N154" s="13">
        <v>0</v>
      </c>
      <c r="O154" s="13">
        <v>0</v>
      </c>
      <c r="P154" s="13">
        <v>1</v>
      </c>
      <c r="Q154" s="13">
        <v>0</v>
      </c>
      <c r="R154" s="13"/>
      <c r="S154">
        <f t="shared" si="29"/>
        <v>0</v>
      </c>
      <c r="T154">
        <f t="shared" si="30"/>
        <v>1</v>
      </c>
      <c r="U154">
        <f t="shared" si="31"/>
        <v>1</v>
      </c>
      <c r="V154">
        <f t="shared" si="32"/>
        <v>1</v>
      </c>
      <c r="W154">
        <f t="shared" si="33"/>
        <v>1</v>
      </c>
    </row>
    <row r="155" spans="1:23">
      <c r="A155" s="1">
        <v>10</v>
      </c>
      <c r="B155" s="2" t="s">
        <v>12</v>
      </c>
      <c r="C155" s="10">
        <v>9</v>
      </c>
      <c r="D155" s="2" t="s">
        <v>23</v>
      </c>
      <c r="E155" s="2">
        <v>1</v>
      </c>
      <c r="F155" s="2">
        <v>0</v>
      </c>
      <c r="G155" s="2">
        <v>0</v>
      </c>
      <c r="H155" s="2">
        <v>0</v>
      </c>
      <c r="I155" s="2">
        <v>0</v>
      </c>
      <c r="J155" s="9">
        <f t="shared" si="34"/>
        <v>-3</v>
      </c>
      <c r="K155" s="7">
        <f t="shared" si="35"/>
        <v>0.5</v>
      </c>
      <c r="L155" s="10">
        <v>9</v>
      </c>
      <c r="M155" s="13">
        <v>1</v>
      </c>
      <c r="N155" s="13">
        <v>0</v>
      </c>
      <c r="O155" s="13">
        <v>1</v>
      </c>
      <c r="P155" s="13">
        <v>0</v>
      </c>
      <c r="Q155" s="13">
        <v>0</v>
      </c>
      <c r="R155" s="13"/>
      <c r="S155">
        <f t="shared" si="29"/>
        <v>1</v>
      </c>
      <c r="T155">
        <f t="shared" si="30"/>
        <v>1</v>
      </c>
      <c r="U155">
        <f t="shared" si="31"/>
        <v>0</v>
      </c>
      <c r="V155">
        <f t="shared" si="32"/>
        <v>1</v>
      </c>
      <c r="W155">
        <f t="shared" si="33"/>
        <v>1</v>
      </c>
    </row>
    <row r="156" spans="1:23" hidden="1">
      <c r="A156" s="1">
        <v>10</v>
      </c>
      <c r="B156" s="2" t="s">
        <v>12</v>
      </c>
      <c r="C156" s="10">
        <v>10</v>
      </c>
      <c r="D156" s="2" t="s">
        <v>24</v>
      </c>
      <c r="E156" s="2">
        <v>0</v>
      </c>
      <c r="F156" s="2">
        <v>0</v>
      </c>
      <c r="G156" s="2">
        <v>0</v>
      </c>
      <c r="H156" s="2">
        <v>1</v>
      </c>
      <c r="I156" s="2">
        <v>0</v>
      </c>
      <c r="J156" s="9">
        <f t="shared" si="34"/>
        <v>0</v>
      </c>
      <c r="K156" s="7">
        <f t="shared" si="35"/>
        <v>1</v>
      </c>
      <c r="L156" s="10">
        <v>10</v>
      </c>
      <c r="M156" s="13">
        <v>0</v>
      </c>
      <c r="N156" s="13">
        <v>0</v>
      </c>
      <c r="O156" s="13">
        <v>0</v>
      </c>
      <c r="P156" s="13">
        <v>1</v>
      </c>
      <c r="Q156" s="13">
        <v>0</v>
      </c>
      <c r="R156" s="13"/>
      <c r="S156">
        <f t="shared" si="29"/>
        <v>1</v>
      </c>
      <c r="T156">
        <f t="shared" si="30"/>
        <v>1</v>
      </c>
      <c r="U156">
        <f t="shared" si="31"/>
        <v>1</v>
      </c>
      <c r="V156">
        <f t="shared" si="32"/>
        <v>1</v>
      </c>
      <c r="W156">
        <f t="shared" si="33"/>
        <v>1</v>
      </c>
    </row>
    <row r="157" spans="1:23">
      <c r="A157" s="1">
        <v>10</v>
      </c>
      <c r="B157" s="2" t="s">
        <v>12</v>
      </c>
      <c r="C157" s="10">
        <v>11</v>
      </c>
      <c r="D157" s="2" t="s">
        <v>25</v>
      </c>
      <c r="E157" s="2">
        <v>1</v>
      </c>
      <c r="F157" s="2">
        <v>0</v>
      </c>
      <c r="G157" s="2">
        <v>0</v>
      </c>
      <c r="H157" s="2">
        <v>1</v>
      </c>
      <c r="I157" s="2">
        <v>0</v>
      </c>
      <c r="J157" s="9">
        <f t="shared" si="34"/>
        <v>0</v>
      </c>
      <c r="K157" s="7">
        <f t="shared" si="35"/>
        <v>0.8</v>
      </c>
      <c r="L157" s="10">
        <v>11</v>
      </c>
      <c r="M157" s="13">
        <v>0</v>
      </c>
      <c r="N157" s="13">
        <v>0</v>
      </c>
      <c r="O157" s="13">
        <v>0</v>
      </c>
      <c r="P157" s="13">
        <v>1</v>
      </c>
      <c r="Q157" s="13">
        <v>0</v>
      </c>
      <c r="R157" s="13"/>
      <c r="S157">
        <f t="shared" si="29"/>
        <v>0</v>
      </c>
      <c r="T157">
        <f t="shared" si="30"/>
        <v>1</v>
      </c>
      <c r="U157">
        <f t="shared" si="31"/>
        <v>1</v>
      </c>
      <c r="V157">
        <f t="shared" si="32"/>
        <v>1</v>
      </c>
      <c r="W157">
        <f t="shared" si="33"/>
        <v>1</v>
      </c>
    </row>
    <row r="158" spans="1:23" hidden="1">
      <c r="A158" s="1">
        <v>10</v>
      </c>
      <c r="B158" s="2" t="s">
        <v>12</v>
      </c>
      <c r="C158" s="10">
        <v>12</v>
      </c>
      <c r="D158" s="2" t="s">
        <v>26</v>
      </c>
      <c r="E158" s="2">
        <v>1</v>
      </c>
      <c r="F158" s="2">
        <v>0</v>
      </c>
      <c r="G158" s="2">
        <v>0</v>
      </c>
      <c r="H158" s="2">
        <v>0</v>
      </c>
      <c r="I158" s="2">
        <v>0</v>
      </c>
      <c r="J158" s="9">
        <f t="shared" si="34"/>
        <v>-3</v>
      </c>
      <c r="K158" s="7">
        <f t="shared" si="35"/>
        <v>0.5</v>
      </c>
      <c r="L158" s="10">
        <v>12</v>
      </c>
      <c r="M158" s="13">
        <v>1</v>
      </c>
      <c r="N158" s="13">
        <v>0</v>
      </c>
      <c r="O158" s="13">
        <v>1</v>
      </c>
      <c r="P158" s="13">
        <v>0</v>
      </c>
      <c r="Q158" s="13">
        <v>0</v>
      </c>
      <c r="R158" s="13"/>
      <c r="S158">
        <f t="shared" si="29"/>
        <v>1</v>
      </c>
      <c r="T158">
        <f t="shared" si="30"/>
        <v>1</v>
      </c>
      <c r="U158">
        <f t="shared" si="31"/>
        <v>0</v>
      </c>
      <c r="V158">
        <f t="shared" si="32"/>
        <v>1</v>
      </c>
      <c r="W158">
        <f t="shared" si="33"/>
        <v>1</v>
      </c>
    </row>
    <row r="159" spans="1:23" hidden="1">
      <c r="A159" s="1">
        <v>10</v>
      </c>
      <c r="B159" s="2" t="s">
        <v>12</v>
      </c>
      <c r="C159" s="10">
        <v>13</v>
      </c>
      <c r="D159" s="2" t="s">
        <v>27</v>
      </c>
      <c r="E159" s="2">
        <v>0</v>
      </c>
      <c r="F159" s="2">
        <v>0</v>
      </c>
      <c r="G159" s="2">
        <v>0</v>
      </c>
      <c r="H159" s="2">
        <v>1</v>
      </c>
      <c r="I159" s="2">
        <v>0</v>
      </c>
      <c r="J159" s="9">
        <f t="shared" si="34"/>
        <v>0</v>
      </c>
      <c r="K159" s="7">
        <f t="shared" si="35"/>
        <v>0.6</v>
      </c>
      <c r="L159" s="10">
        <v>13</v>
      </c>
      <c r="M159" s="13">
        <v>0</v>
      </c>
      <c r="N159" s="13">
        <v>1</v>
      </c>
      <c r="O159" s="13">
        <v>0</v>
      </c>
      <c r="P159" s="13">
        <v>1</v>
      </c>
      <c r="Q159" s="13">
        <v>1</v>
      </c>
      <c r="R159" s="13"/>
      <c r="S159">
        <f t="shared" si="29"/>
        <v>1</v>
      </c>
      <c r="T159">
        <f t="shared" si="30"/>
        <v>0</v>
      </c>
      <c r="U159">
        <f t="shared" si="31"/>
        <v>1</v>
      </c>
      <c r="V159">
        <f t="shared" si="32"/>
        <v>1</v>
      </c>
      <c r="W159">
        <f t="shared" si="33"/>
        <v>0</v>
      </c>
    </row>
    <row r="160" spans="1:23">
      <c r="A160" s="1">
        <v>10</v>
      </c>
      <c r="B160" s="2" t="s">
        <v>12</v>
      </c>
      <c r="C160" s="10">
        <v>14</v>
      </c>
      <c r="D160" s="2" t="s">
        <v>28</v>
      </c>
      <c r="E160" s="2">
        <v>1</v>
      </c>
      <c r="F160" s="2">
        <v>0</v>
      </c>
      <c r="G160" s="2">
        <v>0</v>
      </c>
      <c r="H160" s="2">
        <v>0</v>
      </c>
      <c r="I160" s="2">
        <v>0</v>
      </c>
      <c r="J160" s="9">
        <f t="shared" si="34"/>
        <v>-3</v>
      </c>
      <c r="K160" s="7">
        <f t="shared" si="35"/>
        <v>0.5</v>
      </c>
      <c r="L160" s="10">
        <v>14</v>
      </c>
      <c r="M160" s="13">
        <v>1</v>
      </c>
      <c r="N160" s="13">
        <v>0</v>
      </c>
      <c r="O160" s="13">
        <v>1</v>
      </c>
      <c r="P160" s="13">
        <v>0</v>
      </c>
      <c r="Q160" s="13">
        <v>0</v>
      </c>
      <c r="R160" s="13"/>
      <c r="S160">
        <f t="shared" si="29"/>
        <v>1</v>
      </c>
      <c r="T160">
        <f t="shared" si="30"/>
        <v>1</v>
      </c>
      <c r="U160">
        <f t="shared" si="31"/>
        <v>0</v>
      </c>
      <c r="V160">
        <f t="shared" si="32"/>
        <v>1</v>
      </c>
      <c r="W160">
        <f t="shared" si="33"/>
        <v>1</v>
      </c>
    </row>
    <row r="161" spans="1:23" hidden="1">
      <c r="A161" s="1">
        <v>10</v>
      </c>
      <c r="B161" s="2" t="s">
        <v>12</v>
      </c>
      <c r="C161" s="10">
        <v>15</v>
      </c>
      <c r="D161" s="2" t="s">
        <v>29</v>
      </c>
      <c r="E161" s="2">
        <v>0</v>
      </c>
      <c r="F161" s="2">
        <v>0</v>
      </c>
      <c r="G161" s="2">
        <v>0</v>
      </c>
      <c r="H161" s="2">
        <v>1</v>
      </c>
      <c r="I161" s="2">
        <v>0</v>
      </c>
      <c r="J161" s="9">
        <f t="shared" si="34"/>
        <v>0</v>
      </c>
      <c r="K161" s="7">
        <f t="shared" si="35"/>
        <v>1</v>
      </c>
      <c r="L161" s="10">
        <v>15</v>
      </c>
      <c r="M161" s="13">
        <v>0</v>
      </c>
      <c r="N161" s="13">
        <v>0</v>
      </c>
      <c r="O161" s="13">
        <v>0</v>
      </c>
      <c r="P161" s="13">
        <v>1</v>
      </c>
      <c r="Q161" s="13">
        <v>0</v>
      </c>
      <c r="R161" s="13"/>
      <c r="S161">
        <f t="shared" si="29"/>
        <v>1</v>
      </c>
      <c r="T161">
        <f t="shared" si="30"/>
        <v>1</v>
      </c>
      <c r="U161">
        <f t="shared" si="31"/>
        <v>1</v>
      </c>
      <c r="V161">
        <f t="shared" si="32"/>
        <v>1</v>
      </c>
      <c r="W161">
        <f t="shared" si="33"/>
        <v>1</v>
      </c>
    </row>
    <row r="162" spans="1:23" hidden="1">
      <c r="A162" s="1">
        <v>10</v>
      </c>
      <c r="B162" s="2" t="s">
        <v>30</v>
      </c>
      <c r="C162" s="10">
        <v>16</v>
      </c>
      <c r="D162" s="2" t="s">
        <v>31</v>
      </c>
      <c r="E162" s="2">
        <v>0</v>
      </c>
      <c r="F162" s="2">
        <v>0</v>
      </c>
      <c r="G162" s="2">
        <v>0</v>
      </c>
      <c r="H162" s="2">
        <v>0</v>
      </c>
      <c r="I162" s="2">
        <v>1</v>
      </c>
      <c r="J162" s="9">
        <f t="shared" si="34"/>
        <v>-1</v>
      </c>
      <c r="K162" s="7">
        <f t="shared" si="35"/>
        <v>0.75</v>
      </c>
      <c r="L162" s="10">
        <v>16</v>
      </c>
      <c r="M162" s="13">
        <v>1</v>
      </c>
      <c r="N162" s="13">
        <v>0</v>
      </c>
      <c r="O162" s="13">
        <v>0</v>
      </c>
      <c r="P162" s="13">
        <v>0</v>
      </c>
      <c r="Q162" s="13">
        <v>1</v>
      </c>
      <c r="R162" s="13"/>
      <c r="S162">
        <f t="shared" si="29"/>
        <v>0</v>
      </c>
      <c r="T162">
        <f t="shared" si="30"/>
        <v>1</v>
      </c>
      <c r="U162">
        <f t="shared" si="31"/>
        <v>1</v>
      </c>
      <c r="V162">
        <f t="shared" si="32"/>
        <v>1</v>
      </c>
      <c r="W162">
        <f t="shared" si="33"/>
        <v>1</v>
      </c>
    </row>
    <row r="163" spans="1:23" hidden="1">
      <c r="A163" s="1"/>
      <c r="C163" s="11"/>
      <c r="R163" t="s">
        <v>52</v>
      </c>
      <c r="S163" s="17">
        <f>COUNTIFS(S3:S162,1)</f>
        <v>119</v>
      </c>
      <c r="T163" s="17">
        <f>COUNTIFS(T3:T162,1)</f>
        <v>138</v>
      </c>
      <c r="U163" s="17">
        <f>COUNTIFS(U3:U162,1)</f>
        <v>91</v>
      </c>
      <c r="V163" s="17">
        <f>COUNTIFS(V3:V162,1)</f>
        <v>151</v>
      </c>
      <c r="W163" s="17">
        <f>COUNTIFS(W3:W162,1)</f>
        <v>132</v>
      </c>
    </row>
    <row r="164" spans="1:23" hidden="1">
      <c r="C164" s="11"/>
      <c r="G164" s="4"/>
      <c r="R164" s="17" t="s">
        <v>53</v>
      </c>
      <c r="S164" s="31">
        <f>AVERAGE(S3:S162)</f>
        <v>0.74375000000000002</v>
      </c>
      <c r="T164" s="32">
        <f>AVERAGE(T3:T162)</f>
        <v>0.86250000000000004</v>
      </c>
      <c r="U164" s="31">
        <f>AVERAGE(U3:U162)</f>
        <v>0.56874999999999998</v>
      </c>
      <c r="V164" s="32">
        <f>AVERAGE(V3:V162)</f>
        <v>0.94374999999999998</v>
      </c>
      <c r="W164" s="32">
        <f>AVERAGE(W3:W162)</f>
        <v>0.82499999999999996</v>
      </c>
    </row>
    <row r="165" spans="1:23" hidden="1">
      <c r="C165" s="11"/>
      <c r="R165" s="17" t="s">
        <v>54</v>
      </c>
      <c r="S165" s="30">
        <f>STDEVP(S3:S162)</f>
        <v>0.43656149337750805</v>
      </c>
      <c r="T165" s="27">
        <f>STDEVP(T3:T162)</f>
        <v>0.34437443284889779</v>
      </c>
      <c r="U165" s="30">
        <f>STDEVP(U3:U162)</f>
        <v>0.4952508833914383</v>
      </c>
      <c r="V165" s="27">
        <f>STDEVP(V3:V162)</f>
        <v>0.23040385738958452</v>
      </c>
      <c r="W165" s="27">
        <f>STDEVP(W3:W162)</f>
        <v>0.37996710383926657</v>
      </c>
    </row>
    <row r="166" spans="1:23">
      <c r="C166" s="11"/>
    </row>
    <row r="167" spans="1:23">
      <c r="L167" s="11"/>
      <c r="M167" s="13"/>
      <c r="N167" s="13"/>
      <c r="O167" s="13"/>
      <c r="P167" s="13"/>
      <c r="Q167" s="13"/>
      <c r="R167" s="13"/>
    </row>
    <row r="168" spans="1:23">
      <c r="L168" s="11"/>
      <c r="Q168"/>
      <c r="R168"/>
    </row>
    <row r="169" spans="1:23">
      <c r="L169" s="11"/>
      <c r="M169" s="13"/>
      <c r="N169" s="13"/>
      <c r="O169" s="13"/>
      <c r="P169" s="13"/>
      <c r="Q169" s="13"/>
      <c r="R169" s="13"/>
    </row>
    <row r="170" spans="1:23">
      <c r="L170" s="11"/>
      <c r="O170" s="13"/>
      <c r="P170"/>
      <c r="Q170"/>
      <c r="R170"/>
    </row>
    <row r="171" spans="1:23">
      <c r="L171" s="11"/>
      <c r="M171" s="13"/>
      <c r="N171" s="13"/>
      <c r="O171" s="13"/>
      <c r="P171" s="13"/>
      <c r="Q171" s="13"/>
      <c r="R171" s="13"/>
    </row>
    <row r="172" spans="1:23">
      <c r="L172" s="11"/>
      <c r="M172" s="13"/>
      <c r="N172" s="13"/>
      <c r="O172" s="13"/>
      <c r="P172" s="13"/>
      <c r="Q172" s="13"/>
      <c r="R172" s="13"/>
    </row>
    <row r="173" spans="1:23">
      <c r="L173" s="11"/>
      <c r="M173" s="13"/>
      <c r="N173" s="13"/>
      <c r="O173" s="13"/>
      <c r="P173" s="13"/>
      <c r="Q173" s="13"/>
      <c r="R173" s="13"/>
    </row>
    <row r="174" spans="1:23">
      <c r="L174" s="11"/>
      <c r="M174" s="13"/>
      <c r="N174" s="13"/>
      <c r="O174" s="13"/>
      <c r="P174" s="13"/>
      <c r="Q174" s="13"/>
      <c r="R174" s="13"/>
    </row>
    <row r="175" spans="1:23">
      <c r="L175" s="11"/>
      <c r="M175" s="13"/>
      <c r="N175" s="13"/>
      <c r="O175" s="13"/>
      <c r="P175" s="13"/>
      <c r="Q175" s="13"/>
      <c r="R175" s="13"/>
    </row>
    <row r="176" spans="1:23">
      <c r="L176" s="11"/>
      <c r="M176" s="13"/>
      <c r="N176" s="13"/>
      <c r="O176" s="13"/>
      <c r="P176" s="13"/>
      <c r="Q176" s="13"/>
      <c r="R176" s="13"/>
    </row>
    <row r="177" spans="3:18">
      <c r="C177" s="11"/>
      <c r="L177" s="11"/>
      <c r="M177" s="13"/>
      <c r="N177" s="13"/>
      <c r="O177" s="13"/>
      <c r="P177" s="13"/>
      <c r="Q177" s="13"/>
      <c r="R177" s="13"/>
    </row>
    <row r="178" spans="3:18">
      <c r="C178" s="11"/>
      <c r="L178" s="11"/>
      <c r="M178" s="13"/>
      <c r="N178" s="13"/>
      <c r="O178" s="13"/>
      <c r="P178" s="13"/>
      <c r="Q178" s="13"/>
      <c r="R178" s="13"/>
    </row>
    <row r="179" spans="3:18">
      <c r="C179" s="11"/>
      <c r="L179" s="11"/>
      <c r="M179" s="13"/>
      <c r="N179" s="13"/>
      <c r="O179" s="13"/>
      <c r="P179" s="13"/>
      <c r="Q179" s="13"/>
      <c r="R179" s="13"/>
    </row>
    <row r="180" spans="3:18">
      <c r="C180" s="11"/>
      <c r="L180" s="11"/>
      <c r="M180" s="13"/>
      <c r="N180" s="13"/>
      <c r="O180" s="13"/>
      <c r="P180" s="13"/>
      <c r="Q180" s="13"/>
      <c r="R180" s="13"/>
    </row>
    <row r="181" spans="3:18">
      <c r="C181" s="11"/>
      <c r="L181" s="11"/>
      <c r="M181" s="13"/>
      <c r="N181" s="13"/>
      <c r="O181" s="13"/>
      <c r="P181" s="13"/>
      <c r="Q181" s="13"/>
      <c r="R181" s="13"/>
    </row>
    <row r="182" spans="3:18">
      <c r="C182" s="11"/>
      <c r="L182" s="11"/>
      <c r="M182" s="13"/>
      <c r="N182" s="13"/>
      <c r="O182" s="13"/>
      <c r="P182" s="13"/>
      <c r="Q182" s="13"/>
      <c r="R182" s="13"/>
    </row>
    <row r="183" spans="3:18">
      <c r="C183" s="11"/>
      <c r="L183" s="11"/>
      <c r="O183" s="13"/>
    </row>
    <row r="184" spans="3:18">
      <c r="C184" s="11"/>
      <c r="L184" s="11"/>
      <c r="O184" s="13"/>
    </row>
    <row r="185" spans="3:18">
      <c r="C185" s="11"/>
      <c r="L185" s="11"/>
    </row>
    <row r="186" spans="3:18">
      <c r="C186" s="11"/>
      <c r="L186" s="11"/>
    </row>
    <row r="187" spans="3:18">
      <c r="C187" s="11"/>
      <c r="L187" s="11"/>
    </row>
    <row r="188" spans="3:18">
      <c r="C188" s="11"/>
      <c r="L188" s="11"/>
    </row>
    <row r="189" spans="3:18">
      <c r="C189" s="11"/>
    </row>
    <row r="190" spans="3:18">
      <c r="C190" s="11"/>
    </row>
    <row r="191" spans="3:18">
      <c r="C191" s="11"/>
    </row>
    <row r="192" spans="3:18">
      <c r="C192" s="11"/>
    </row>
    <row r="193" spans="3:3">
      <c r="C193" s="11"/>
    </row>
    <row r="194" spans="3:3">
      <c r="C194" s="11"/>
    </row>
    <row r="195" spans="3:3">
      <c r="C195" s="11"/>
    </row>
    <row r="196" spans="3:3">
      <c r="C196" s="11"/>
    </row>
    <row r="197" spans="3:3">
      <c r="C197" s="11"/>
    </row>
    <row r="198" spans="3:3">
      <c r="C198" s="11"/>
    </row>
    <row r="199" spans="3:3">
      <c r="C199" s="11"/>
    </row>
    <row r="200" spans="3:3">
      <c r="C200" s="11"/>
    </row>
    <row r="201" spans="3:3">
      <c r="C201" s="11"/>
    </row>
    <row r="202" spans="3:3">
      <c r="C202" s="11"/>
    </row>
    <row r="203" spans="3:3">
      <c r="C203" s="11"/>
    </row>
    <row r="204" spans="3:3">
      <c r="C204" s="11"/>
    </row>
    <row r="205" spans="3:3">
      <c r="C205" s="11"/>
    </row>
    <row r="206" spans="3:3">
      <c r="C206" s="11"/>
    </row>
    <row r="207" spans="3:3">
      <c r="C207" s="11"/>
    </row>
    <row r="208" spans="3:3">
      <c r="C208" s="11"/>
    </row>
    <row r="209" spans="3:3">
      <c r="C209" s="11"/>
    </row>
    <row r="210" spans="3:3">
      <c r="C210" s="11"/>
    </row>
    <row r="211" spans="3:3">
      <c r="C211" s="11"/>
    </row>
    <row r="212" spans="3:3">
      <c r="C212" s="11"/>
    </row>
    <row r="213" spans="3:3">
      <c r="C213" s="11"/>
    </row>
    <row r="214" spans="3:3">
      <c r="C214" s="11"/>
    </row>
    <row r="215" spans="3:3">
      <c r="C215" s="11"/>
    </row>
    <row r="216" spans="3:3">
      <c r="C216" s="11"/>
    </row>
    <row r="217" spans="3:3">
      <c r="C217" s="11"/>
    </row>
    <row r="218" spans="3:3">
      <c r="C218" s="11"/>
    </row>
    <row r="219" spans="3:3">
      <c r="C219" s="11"/>
    </row>
    <row r="220" spans="3:3">
      <c r="C220" s="11"/>
    </row>
    <row r="221" spans="3:3">
      <c r="C221" s="11"/>
    </row>
    <row r="222" spans="3:3">
      <c r="C222" s="11"/>
    </row>
    <row r="223" spans="3:3">
      <c r="C223" s="11"/>
    </row>
    <row r="224" spans="3:3">
      <c r="C224" s="11"/>
    </row>
    <row r="225" spans="3:3">
      <c r="C225" s="11"/>
    </row>
    <row r="226" spans="3:3">
      <c r="C226" s="11"/>
    </row>
    <row r="227" spans="3:3">
      <c r="C227" s="11"/>
    </row>
    <row r="228" spans="3:3">
      <c r="C228" s="11"/>
    </row>
    <row r="229" spans="3:3">
      <c r="C229" s="11"/>
    </row>
    <row r="230" spans="3:3">
      <c r="C230" s="11"/>
    </row>
    <row r="231" spans="3:3">
      <c r="C231" s="11"/>
    </row>
    <row r="232" spans="3:3">
      <c r="C232" s="11"/>
    </row>
    <row r="233" spans="3:3">
      <c r="C233" s="11"/>
    </row>
    <row r="234" spans="3:3">
      <c r="C234" s="11"/>
    </row>
    <row r="235" spans="3:3">
      <c r="C235" s="11"/>
    </row>
    <row r="236" spans="3:3">
      <c r="C236" s="11"/>
    </row>
    <row r="237" spans="3:3">
      <c r="C237" s="11"/>
    </row>
    <row r="238" spans="3:3">
      <c r="C238" s="11"/>
    </row>
    <row r="239" spans="3:3">
      <c r="C239" s="11"/>
    </row>
    <row r="240" spans="3:3">
      <c r="C240" s="11"/>
    </row>
    <row r="241" spans="3:3">
      <c r="C241" s="11"/>
    </row>
    <row r="242" spans="3:3">
      <c r="C242" s="11"/>
    </row>
    <row r="243" spans="3:3">
      <c r="C243" s="11"/>
    </row>
    <row r="244" spans="3:3">
      <c r="C244" s="11"/>
    </row>
    <row r="245" spans="3:3">
      <c r="C245" s="11"/>
    </row>
    <row r="246" spans="3:3">
      <c r="C246" s="11"/>
    </row>
    <row r="247" spans="3:3">
      <c r="C247" s="11"/>
    </row>
    <row r="248" spans="3:3">
      <c r="C248" s="11"/>
    </row>
    <row r="249" spans="3:3">
      <c r="C249" s="11"/>
    </row>
    <row r="250" spans="3:3">
      <c r="C250" s="11"/>
    </row>
    <row r="251" spans="3:3">
      <c r="C251" s="11"/>
    </row>
    <row r="252" spans="3:3">
      <c r="C252" s="11"/>
    </row>
    <row r="253" spans="3:3">
      <c r="C253" s="11"/>
    </row>
    <row r="254" spans="3:3">
      <c r="C254" s="11"/>
    </row>
    <row r="255" spans="3:3">
      <c r="C255" s="11"/>
    </row>
    <row r="256" spans="3:3">
      <c r="C256" s="11"/>
    </row>
    <row r="1048576" spans="1:1">
      <c r="A1048576" t="s">
        <v>55</v>
      </c>
    </row>
  </sheetData>
  <autoFilter ref="A1:W165" xr:uid="{D8D30AA6-2477-40CB-832B-88A0BFE6DD2D}">
    <filterColumn colId="2">
      <filters>
        <filter val="1"/>
        <filter val="11"/>
        <filter val="14"/>
        <filter val="3"/>
        <filter val="5"/>
        <filter val="7"/>
        <filter val="9"/>
      </filters>
    </filterColumn>
    <filterColumn colId="6">
      <filters>
        <filter val="0"/>
        <filter val="single_pieces_viewed"/>
      </filters>
    </filterColumn>
  </autoFilter>
  <mergeCells count="1">
    <mergeCell ref="AW1:BA1"/>
  </mergeCells>
  <conditionalFormatting sqref="S3:W162">
    <cfRule type="colorScale" priority="1">
      <colorScale>
        <cfvo type="min"/>
        <cfvo type="max"/>
        <color rgb="FFFFEF9C"/>
        <color rgb="FF63BE7B"/>
      </colorScale>
    </cfRule>
  </conditionalFormatting>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4260D-2AFF-0146-8E4F-F66970082B7E}">
  <sheetPr codeName="Sheet3"/>
  <dimension ref="A1:BS1048576"/>
  <sheetViews>
    <sheetView tabSelected="1" zoomScale="91" zoomScaleNormal="62" workbookViewId="0">
      <pane xSplit="1" topLeftCell="B1" activePane="topRight" state="frozen"/>
      <selection pane="topRight" activeCell="L6" sqref="L6"/>
    </sheetView>
  </sheetViews>
  <sheetFormatPr defaultColWidth="11" defaultRowHeight="15.95"/>
  <cols>
    <col min="2" max="2" width="12.625" customWidth="1"/>
    <col min="3" max="3" width="11" style="6"/>
    <col min="4" max="4" width="29.875" customWidth="1"/>
    <col min="10" max="10" width="11" style="9"/>
    <col min="11" max="11" width="11" style="7"/>
    <col min="12" max="12" width="11" style="9"/>
    <col min="13" max="13" width="14.875" style="3" bestFit="1" customWidth="1"/>
    <col min="14" max="14" width="14.375" style="3" bestFit="1" customWidth="1"/>
    <col min="15" max="15" width="17.125" style="3" bestFit="1" customWidth="1"/>
    <col min="16" max="16" width="14.125" style="3" bestFit="1" customWidth="1"/>
    <col min="17" max="17" width="11.125" style="3" bestFit="1" customWidth="1"/>
    <col min="18" max="18" width="11.125" style="3" customWidth="1"/>
    <col min="19" max="19" width="12.125" bestFit="1" customWidth="1"/>
    <col min="20" max="20" width="11.5" bestFit="1" customWidth="1"/>
    <col min="21" max="21" width="15" bestFit="1" customWidth="1"/>
    <col min="22" max="22" width="11.5" bestFit="1" customWidth="1"/>
    <col min="23" max="23" width="8.5" bestFit="1" customWidth="1"/>
    <col min="33" max="33" width="12.625" bestFit="1" customWidth="1"/>
    <col min="48" max="48" width="14" bestFit="1" customWidth="1"/>
  </cols>
  <sheetData>
    <row r="1" spans="1:71">
      <c r="E1" t="s">
        <v>0</v>
      </c>
      <c r="M1" s="3" t="s">
        <v>56</v>
      </c>
      <c r="R1" s="14"/>
      <c r="S1" t="s">
        <v>33</v>
      </c>
      <c r="AW1" s="41" t="s">
        <v>33</v>
      </c>
      <c r="AX1" s="41"/>
      <c r="AY1" s="41"/>
      <c r="AZ1" s="41"/>
      <c r="BA1" s="41"/>
      <c r="BE1" s="34"/>
      <c r="BF1" s="34" t="s">
        <v>33</v>
      </c>
      <c r="BG1" s="34" t="s">
        <v>57</v>
      </c>
      <c r="BH1" s="34"/>
      <c r="BI1" s="34"/>
      <c r="BJ1" s="34"/>
      <c r="BN1" t="s">
        <v>33</v>
      </c>
      <c r="BO1" t="s">
        <v>58</v>
      </c>
    </row>
    <row r="2" spans="1:71">
      <c r="A2" s="1" t="s">
        <v>2</v>
      </c>
      <c r="B2" s="1" t="s">
        <v>3</v>
      </c>
      <c r="C2" s="5" t="s">
        <v>4</v>
      </c>
      <c r="D2" s="1" t="s">
        <v>5</v>
      </c>
      <c r="E2" s="1" t="s">
        <v>6</v>
      </c>
      <c r="F2" s="1" t="s">
        <v>7</v>
      </c>
      <c r="G2" s="1" t="s">
        <v>8</v>
      </c>
      <c r="H2" s="1" t="s">
        <v>9</v>
      </c>
      <c r="I2" s="1" t="s">
        <v>10</v>
      </c>
      <c r="K2" t="s">
        <v>34</v>
      </c>
      <c r="L2" s="5" t="s">
        <v>4</v>
      </c>
      <c r="M2" s="1" t="s">
        <v>6</v>
      </c>
      <c r="N2" s="1" t="s">
        <v>7</v>
      </c>
      <c r="O2" s="1" t="s">
        <v>8</v>
      </c>
      <c r="P2" s="1" t="s">
        <v>9</v>
      </c>
      <c r="Q2" s="1" t="s">
        <v>10</v>
      </c>
      <c r="R2" s="1"/>
      <c r="S2" s="1" t="s">
        <v>35</v>
      </c>
      <c r="T2" s="1" t="s">
        <v>36</v>
      </c>
      <c r="U2" s="1" t="s">
        <v>37</v>
      </c>
      <c r="V2" s="1" t="s">
        <v>38</v>
      </c>
      <c r="W2" s="1" t="s">
        <v>39</v>
      </c>
      <c r="AG2" s="16" t="s">
        <v>2</v>
      </c>
      <c r="AH2" s="25" t="s">
        <v>40</v>
      </c>
      <c r="AJ2" s="16" t="s">
        <v>41</v>
      </c>
      <c r="AK2" s="25" t="s">
        <v>40</v>
      </c>
      <c r="AM2" s="16" t="s">
        <v>42</v>
      </c>
      <c r="AN2" s="25" t="s">
        <v>40</v>
      </c>
      <c r="AV2" s="24" t="s">
        <v>4</v>
      </c>
      <c r="AW2" s="1" t="s">
        <v>35</v>
      </c>
      <c r="AX2" s="1" t="s">
        <v>36</v>
      </c>
      <c r="AY2" s="1" t="s">
        <v>37</v>
      </c>
      <c r="AZ2" s="1" t="s">
        <v>38</v>
      </c>
      <c r="BA2" s="1" t="s">
        <v>39</v>
      </c>
      <c r="BE2" s="34" t="s">
        <v>4</v>
      </c>
      <c r="BF2" s="34" t="s">
        <v>35</v>
      </c>
      <c r="BG2" s="34" t="s">
        <v>36</v>
      </c>
      <c r="BH2" s="34" t="s">
        <v>37</v>
      </c>
      <c r="BI2" s="34" t="s">
        <v>38</v>
      </c>
      <c r="BJ2" s="34" t="s">
        <v>39</v>
      </c>
      <c r="BM2" t="s">
        <v>4</v>
      </c>
      <c r="BN2" t="s">
        <v>35</v>
      </c>
      <c r="BO2" t="s">
        <v>36</v>
      </c>
      <c r="BP2" t="s">
        <v>37</v>
      </c>
      <c r="BQ2" t="s">
        <v>38</v>
      </c>
      <c r="BR2" t="s">
        <v>39</v>
      </c>
    </row>
    <row r="3" spans="1:71">
      <c r="A3" s="1">
        <v>1</v>
      </c>
      <c r="B3" s="2" t="s">
        <v>12</v>
      </c>
      <c r="C3" s="10">
        <v>1</v>
      </c>
      <c r="D3" s="2" t="s">
        <v>32</v>
      </c>
      <c r="E3" s="2">
        <v>1</v>
      </c>
      <c r="F3" s="2">
        <v>0</v>
      </c>
      <c r="G3" s="2">
        <v>1</v>
      </c>
      <c r="H3" s="2">
        <v>0</v>
      </c>
      <c r="I3" s="2">
        <v>0</v>
      </c>
      <c r="J3" s="9">
        <f>IF(OR(C3=1,C3=3,C3=5,C3=7,C3=9,C3=12,C3=14),-3,IF(OR(C3=2,C3=4,C3=6,C3=8,C3=10,C3=11,C3=13,C3=15),0,-1))</f>
        <v>-3</v>
      </c>
      <c r="K3" s="19">
        <f>SUM(IF(E3=M3,1,0),IF(F3=N3,1,0),IF(G3=O3,1,0),IF(H3=P3,1,0),IF(I3=Q3,1,0),J3)/IF(OR(C3=1,C3=3,C3=5,C3=7,C3=9,C3=12,C3=14),2,IF(OR(C3=2,C3=4,C3=6,C3=8,C3=10,C3=11,C3=13,C3=15),5,4))</f>
        <v>1</v>
      </c>
      <c r="L3" s="10">
        <v>1</v>
      </c>
      <c r="M3" s="35">
        <v>1</v>
      </c>
      <c r="N3" s="35">
        <v>0</v>
      </c>
      <c r="O3" s="35">
        <v>1</v>
      </c>
      <c r="P3" s="35">
        <v>0</v>
      </c>
      <c r="Q3" s="35">
        <v>0</v>
      </c>
      <c r="R3" s="13"/>
      <c r="S3">
        <f t="shared" ref="S3:W34" si="0">IF(E3=M3, 1, 0)</f>
        <v>1</v>
      </c>
      <c r="T3">
        <f t="shared" si="0"/>
        <v>1</v>
      </c>
      <c r="U3">
        <f t="shared" si="0"/>
        <v>1</v>
      </c>
      <c r="V3">
        <f t="shared" si="0"/>
        <v>1</v>
      </c>
      <c r="W3">
        <f t="shared" si="0"/>
        <v>1</v>
      </c>
      <c r="X3" s="9">
        <v>0.5</v>
      </c>
      <c r="AG3" s="17">
        <v>1</v>
      </c>
      <c r="AH3" s="29">
        <f>AVERAGE(K3:K18)</f>
        <v>0.59062499999999996</v>
      </c>
      <c r="AJ3" s="17">
        <v>1</v>
      </c>
      <c r="AK3" s="17">
        <f>AVERAGEIF(C:C, 1, K:K)</f>
        <v>0.9</v>
      </c>
      <c r="AM3" s="17">
        <v>2</v>
      </c>
      <c r="AN3" s="17">
        <f>AVERAGEIF(C:C, 2, K:K)</f>
        <v>0.65999999999999992</v>
      </c>
      <c r="AV3" s="22">
        <v>1</v>
      </c>
      <c r="AW3" s="23">
        <f>AVERAGEIF(C:C, 1, S:S)</f>
        <v>1</v>
      </c>
      <c r="AX3" s="23">
        <f>AVERAGEIF(C:C, 1, T:T)</f>
        <v>1</v>
      </c>
      <c r="AY3" s="23">
        <f>AVERAGEIF(C:C, 1, U:U)</f>
        <v>0.8</v>
      </c>
      <c r="AZ3" s="23">
        <f>AVERAGEIF(C:C, 1, V:V)</f>
        <v>1</v>
      </c>
      <c r="BA3" s="23">
        <f>AVERAGEIF(C:C, 1, W:W)</f>
        <v>1</v>
      </c>
      <c r="BE3" s="34">
        <v>1</v>
      </c>
      <c r="BF3" s="34">
        <v>1</v>
      </c>
      <c r="BG3" s="34" t="s">
        <v>43</v>
      </c>
      <c r="BH3" s="34">
        <v>0.8</v>
      </c>
      <c r="BI3" s="34" t="s">
        <v>43</v>
      </c>
      <c r="BJ3" s="34" t="s">
        <v>43</v>
      </c>
      <c r="BK3" s="6">
        <f>AVERAGE(BF3:BJ3)</f>
        <v>0.9</v>
      </c>
      <c r="BM3">
        <v>1</v>
      </c>
      <c r="BN3">
        <v>1</v>
      </c>
      <c r="BO3" t="s">
        <v>43</v>
      </c>
      <c r="BP3">
        <v>0.8</v>
      </c>
      <c r="BQ3" t="s">
        <v>43</v>
      </c>
      <c r="BR3" t="s">
        <v>43</v>
      </c>
      <c r="BS3" s="40">
        <f>AVERAGE(BN3:BR3)</f>
        <v>0.9</v>
      </c>
    </row>
    <row r="4" spans="1:71">
      <c r="A4" s="1">
        <v>1</v>
      </c>
      <c r="B4" s="2" t="s">
        <v>12</v>
      </c>
      <c r="C4" s="10">
        <v>2</v>
      </c>
      <c r="D4" s="2" t="s">
        <v>16</v>
      </c>
      <c r="E4" s="2">
        <v>1</v>
      </c>
      <c r="F4" s="2">
        <v>0</v>
      </c>
      <c r="G4" s="2">
        <v>0</v>
      </c>
      <c r="H4" s="2">
        <v>0</v>
      </c>
      <c r="I4" s="2">
        <v>1</v>
      </c>
      <c r="J4" s="9">
        <f t="shared" ref="J4:J67" si="1">IF(OR(C4=1,C4=3,C4=5,C4=7,C4=9,C4=12,C4=14),-3,IF(OR(C4=2,C4=4,C4=6,C4=8,C4=10,C4=11,C4=13,C4=15),0,-1))</f>
        <v>0</v>
      </c>
      <c r="K4" s="19">
        <f>SUM(IF(E4=M4,1,0),IF(F4=N4,1,0),IF(G4=O4,1,0),IF(H4=P4,1,0),IF(I4=Q4,1,0))/IF(OR(C4=1,C4=3,C4=5,C4=7,C4=9,C4=12,C4=14),2,IF(OR(C4=2,C4=4,C4=6,C4=8,C4=10,C4=11,C4=13,C4=15),5,4))</f>
        <v>0.2</v>
      </c>
      <c r="L4" s="10">
        <v>2</v>
      </c>
      <c r="M4" s="36">
        <v>1</v>
      </c>
      <c r="N4" s="36">
        <v>1</v>
      </c>
      <c r="O4" s="36">
        <v>1</v>
      </c>
      <c r="P4" s="36">
        <v>1</v>
      </c>
      <c r="Q4" s="36">
        <v>0</v>
      </c>
      <c r="R4" s="13"/>
      <c r="S4">
        <f t="shared" si="0"/>
        <v>1</v>
      </c>
      <c r="T4">
        <f t="shared" si="0"/>
        <v>0</v>
      </c>
      <c r="U4">
        <f t="shared" si="0"/>
        <v>0</v>
      </c>
      <c r="V4">
        <f t="shared" si="0"/>
        <v>0</v>
      </c>
      <c r="W4">
        <f t="shared" si="0"/>
        <v>0</v>
      </c>
      <c r="X4" s="9">
        <v>0.5</v>
      </c>
      <c r="AG4" s="17">
        <v>2</v>
      </c>
      <c r="AH4" s="29">
        <f>AVERAGE(K19:K34)</f>
        <v>0.60312500000000002</v>
      </c>
      <c r="AJ4" s="17">
        <v>3</v>
      </c>
      <c r="AK4" s="17">
        <f>AVERAGEIF(C:C, 3, K:K)</f>
        <v>0.75</v>
      </c>
      <c r="AM4" s="17">
        <v>4</v>
      </c>
      <c r="AN4" s="17">
        <f>AVERAGEIF(C:C, 4, K:K)</f>
        <v>0.61999999999999988</v>
      </c>
      <c r="AV4" s="17">
        <v>2</v>
      </c>
      <c r="AW4" s="6">
        <f>AVERAGEIF(C:C, 1, S:S)</f>
        <v>1</v>
      </c>
      <c r="AX4" s="6">
        <f>AVERAGEIF(C:C, 2, T:T)</f>
        <v>0.5</v>
      </c>
      <c r="AY4" s="6">
        <f>AVERAGEIF(C:C, 2, U:U)</f>
        <v>0.5</v>
      </c>
      <c r="AZ4" s="6">
        <f>AVERAGEIF(C:C, 2, V:V)</f>
        <v>0.9</v>
      </c>
      <c r="BA4" s="6">
        <f>AVERAGEIF(C:C, 2, W:W)</f>
        <v>0.8</v>
      </c>
      <c r="BE4" s="34">
        <v>2</v>
      </c>
      <c r="BF4" s="34">
        <v>1</v>
      </c>
      <c r="BG4" s="34">
        <v>0.5</v>
      </c>
      <c r="BH4" s="34">
        <v>0.5</v>
      </c>
      <c r="BI4" s="34">
        <v>0.9</v>
      </c>
      <c r="BJ4" s="34">
        <v>0.8</v>
      </c>
      <c r="BK4" s="6">
        <f t="shared" ref="BK4:BK19" si="2">AVERAGE(BF4:BJ4)</f>
        <v>0.74</v>
      </c>
      <c r="BM4">
        <v>2</v>
      </c>
      <c r="BN4">
        <v>1</v>
      </c>
      <c r="BO4">
        <v>0.5</v>
      </c>
      <c r="BP4">
        <v>0.5</v>
      </c>
      <c r="BQ4">
        <v>0.9</v>
      </c>
      <c r="BR4">
        <v>0.8</v>
      </c>
      <c r="BS4" s="40">
        <f t="shared" ref="BS4:BS19" si="3">AVERAGE(BN4:BR4)</f>
        <v>0.74</v>
      </c>
    </row>
    <row r="5" spans="1:71">
      <c r="A5" s="1">
        <v>1</v>
      </c>
      <c r="B5" s="2" t="s">
        <v>12</v>
      </c>
      <c r="C5" s="10">
        <v>3</v>
      </c>
      <c r="D5" s="2" t="s">
        <v>17</v>
      </c>
      <c r="E5" s="2">
        <v>0</v>
      </c>
      <c r="F5" s="2">
        <v>0</v>
      </c>
      <c r="G5" s="2">
        <v>1</v>
      </c>
      <c r="H5" s="2">
        <v>0</v>
      </c>
      <c r="I5" s="2">
        <v>0</v>
      </c>
      <c r="J5" s="9">
        <f t="shared" si="1"/>
        <v>-3</v>
      </c>
      <c r="K5" s="7">
        <f t="shared" ref="K5:K68" si="4">SUM(IF(E5=M5,1,0),IF(F5=N5,1,0),IF(G5=O5,1,0),IF(H5=P5,1,0),IF(I5=Q5,1,0),J5)/IF(OR(C5=1,C5=3,C5=5,C5=7,C5=9,C5=12,C5=14),2,IF(OR(C5=2,C5=4,C5=6,C5=8,C5=10,C5=11,C5=13,C5=15),5,4))</f>
        <v>0.5</v>
      </c>
      <c r="L5" s="10">
        <v>3</v>
      </c>
      <c r="M5" s="35">
        <v>1</v>
      </c>
      <c r="N5" s="35">
        <v>0</v>
      </c>
      <c r="O5" s="35">
        <v>1</v>
      </c>
      <c r="P5" s="35">
        <v>0</v>
      </c>
      <c r="Q5" s="35">
        <v>0</v>
      </c>
      <c r="R5" s="13"/>
      <c r="S5">
        <f t="shared" si="0"/>
        <v>0</v>
      </c>
      <c r="T5">
        <f t="shared" si="0"/>
        <v>1</v>
      </c>
      <c r="U5">
        <f t="shared" si="0"/>
        <v>1</v>
      </c>
      <c r="V5">
        <f t="shared" si="0"/>
        <v>1</v>
      </c>
      <c r="W5">
        <f t="shared" si="0"/>
        <v>1</v>
      </c>
      <c r="X5" s="9">
        <v>0.5</v>
      </c>
      <c r="AG5" s="17">
        <v>3</v>
      </c>
      <c r="AH5" s="29">
        <f>AVERAGE(K35:K50)</f>
        <v>0.6</v>
      </c>
      <c r="AJ5" s="17">
        <v>5</v>
      </c>
      <c r="AK5" s="17">
        <f>AVERAGEIF(C:C, 5, K:K)</f>
        <v>0.65</v>
      </c>
      <c r="AM5" s="17">
        <v>6</v>
      </c>
      <c r="AN5" s="17">
        <f>AVERAGEIF(C:C, 6, K:K)</f>
        <v>0.88000000000000012</v>
      </c>
      <c r="AV5" s="22">
        <v>3</v>
      </c>
      <c r="AW5" s="23">
        <f>AVERAGEIF(C:C, 2, S:S)</f>
        <v>0.6</v>
      </c>
      <c r="AX5" s="23">
        <f>AVERAGEIF(C:C, 3, T:T)</f>
        <v>1</v>
      </c>
      <c r="AY5" s="23">
        <f>AVERAGEIF(C:C, 3, U:U)</f>
        <v>0.6</v>
      </c>
      <c r="AZ5" s="23">
        <f>AVERAGEIF(C:C, 3, V:V)</f>
        <v>1</v>
      </c>
      <c r="BA5" s="23">
        <f>AVERAGEIF(C:C, 3, W:W)</f>
        <v>1</v>
      </c>
      <c r="BE5" s="34">
        <v>3</v>
      </c>
      <c r="BF5" s="34">
        <v>0.6</v>
      </c>
      <c r="BG5" s="34" t="s">
        <v>43</v>
      </c>
      <c r="BH5" s="34">
        <v>0.6</v>
      </c>
      <c r="BI5" s="34" t="s">
        <v>43</v>
      </c>
      <c r="BJ5" s="34" t="s">
        <v>43</v>
      </c>
      <c r="BK5" s="6">
        <f t="shared" si="2"/>
        <v>0.6</v>
      </c>
      <c r="BM5">
        <v>3</v>
      </c>
      <c r="BN5">
        <v>0.6</v>
      </c>
      <c r="BO5" t="s">
        <v>43</v>
      </c>
      <c r="BP5">
        <v>0.6</v>
      </c>
      <c r="BQ5" t="s">
        <v>43</v>
      </c>
      <c r="BR5" t="s">
        <v>43</v>
      </c>
      <c r="BS5" s="40">
        <f t="shared" si="3"/>
        <v>0.6</v>
      </c>
    </row>
    <row r="6" spans="1:71">
      <c r="A6" s="1">
        <v>1</v>
      </c>
      <c r="B6" s="2" t="s">
        <v>12</v>
      </c>
      <c r="C6" s="10">
        <v>4</v>
      </c>
      <c r="D6" s="2" t="s">
        <v>18</v>
      </c>
      <c r="E6" s="2">
        <v>0</v>
      </c>
      <c r="F6" s="2">
        <v>0</v>
      </c>
      <c r="G6" s="2">
        <v>0</v>
      </c>
      <c r="H6" s="2">
        <v>0</v>
      </c>
      <c r="I6" s="2">
        <v>1</v>
      </c>
      <c r="J6" s="9">
        <f t="shared" si="1"/>
        <v>0</v>
      </c>
      <c r="K6" s="7">
        <f t="shared" si="4"/>
        <v>0.6</v>
      </c>
      <c r="L6" s="10">
        <v>4</v>
      </c>
      <c r="M6" s="36">
        <v>0</v>
      </c>
      <c r="N6" s="36">
        <v>1</v>
      </c>
      <c r="O6" s="36">
        <v>0</v>
      </c>
      <c r="P6" s="36">
        <v>1</v>
      </c>
      <c r="Q6" s="36">
        <v>1</v>
      </c>
      <c r="R6" s="13"/>
      <c r="S6">
        <f t="shared" si="0"/>
        <v>1</v>
      </c>
      <c r="T6">
        <f t="shared" si="0"/>
        <v>0</v>
      </c>
      <c r="U6">
        <f t="shared" si="0"/>
        <v>1</v>
      </c>
      <c r="V6">
        <f t="shared" si="0"/>
        <v>0</v>
      </c>
      <c r="W6">
        <f t="shared" si="0"/>
        <v>1</v>
      </c>
      <c r="X6" s="9">
        <v>0.5</v>
      </c>
      <c r="AG6" s="17">
        <v>4</v>
      </c>
      <c r="AH6" s="29">
        <f>AVERAGE(K51:K66)</f>
        <v>0.80937500000000007</v>
      </c>
      <c r="AJ6" s="17">
        <v>7</v>
      </c>
      <c r="AK6" s="17">
        <f>AVERAGEIF(C:C, 7, K:K)</f>
        <v>0.75</v>
      </c>
      <c r="AM6" s="17">
        <v>8</v>
      </c>
      <c r="AN6" s="17">
        <f>AVERAGEIF(C:C, 8, K:K)</f>
        <v>0.82</v>
      </c>
      <c r="AV6" s="17">
        <v>4</v>
      </c>
      <c r="AW6" s="6">
        <f>AVERAGEIF(C:C, 4, S:S)</f>
        <v>0.7</v>
      </c>
      <c r="AX6" s="6">
        <f>AVERAGEIF(C:C, 4, T:T)</f>
        <v>0.4</v>
      </c>
      <c r="AY6" s="6">
        <f>AVERAGEIF(C:C, 4, U:U)</f>
        <v>0.8</v>
      </c>
      <c r="AZ6" s="6">
        <f>AVERAGEIF(C:C, 4, V:V)</f>
        <v>0.8</v>
      </c>
      <c r="BA6" s="6">
        <f>AVERAGEIF(C:C, 4, W:W)</f>
        <v>0.4</v>
      </c>
      <c r="BE6" s="34">
        <v>4</v>
      </c>
      <c r="BF6" s="34">
        <v>0.7</v>
      </c>
      <c r="BG6" s="34">
        <v>0.4</v>
      </c>
      <c r="BH6" s="34">
        <v>0.8</v>
      </c>
      <c r="BI6" s="34">
        <v>0.8</v>
      </c>
      <c r="BJ6" s="34">
        <v>0.4</v>
      </c>
      <c r="BK6" s="6">
        <f t="shared" si="2"/>
        <v>0.62</v>
      </c>
      <c r="BM6">
        <v>4</v>
      </c>
      <c r="BN6">
        <v>0.5</v>
      </c>
      <c r="BO6">
        <v>0.7</v>
      </c>
      <c r="BP6">
        <v>0.5</v>
      </c>
      <c r="BQ6">
        <v>0.9</v>
      </c>
      <c r="BR6">
        <v>0.4</v>
      </c>
      <c r="BS6" s="6">
        <f t="shared" si="3"/>
        <v>0.6</v>
      </c>
    </row>
    <row r="7" spans="1:71">
      <c r="A7" s="1">
        <v>1</v>
      </c>
      <c r="B7" s="2" t="s">
        <v>12</v>
      </c>
      <c r="C7" s="10">
        <v>5</v>
      </c>
      <c r="D7" s="2" t="s">
        <v>19</v>
      </c>
      <c r="E7" s="2">
        <v>0</v>
      </c>
      <c r="F7" s="2">
        <v>0</v>
      </c>
      <c r="G7" s="2">
        <v>1</v>
      </c>
      <c r="H7" s="2">
        <v>0</v>
      </c>
      <c r="I7" s="2">
        <v>0</v>
      </c>
      <c r="J7" s="9">
        <f t="shared" si="1"/>
        <v>-3</v>
      </c>
      <c r="K7" s="7">
        <f>SUM(IF(E7=M7,1,0),IF(F7=N7,1,0),IF(G7=O7,1,0),IF(H7=P7,1,0),IF(I7=Q7,1,0),J7)/IF(OR(C7=1,C7=3,C7=5,C7=7,C7=9,C7=12,C7=14),2,IF(OR(C7=2,C7=4,C7=6,C7=8,C7=10,C7=11,C7=13,C7=15),5,4))</f>
        <v>0.5</v>
      </c>
      <c r="L7" s="10">
        <v>5</v>
      </c>
      <c r="M7" s="35">
        <v>1</v>
      </c>
      <c r="N7" s="35">
        <v>0</v>
      </c>
      <c r="O7" s="35">
        <v>1</v>
      </c>
      <c r="P7" s="35">
        <v>0</v>
      </c>
      <c r="Q7" s="35">
        <v>0</v>
      </c>
      <c r="R7" s="13"/>
      <c r="S7">
        <f t="shared" si="0"/>
        <v>0</v>
      </c>
      <c r="T7">
        <f t="shared" si="0"/>
        <v>1</v>
      </c>
      <c r="U7">
        <f t="shared" si="0"/>
        <v>1</v>
      </c>
      <c r="V7">
        <f t="shared" si="0"/>
        <v>1</v>
      </c>
      <c r="W7">
        <f t="shared" si="0"/>
        <v>1</v>
      </c>
      <c r="X7" s="9">
        <v>0.5</v>
      </c>
      <c r="AG7" s="17">
        <v>5</v>
      </c>
      <c r="AH7" s="29">
        <f>AVERAGE(K67:K82)</f>
        <v>0.79375000000000007</v>
      </c>
      <c r="AJ7" s="17">
        <v>9</v>
      </c>
      <c r="AK7" s="17">
        <f>AVERAGEIF(C:C, 9, K:K)</f>
        <v>0.65</v>
      </c>
      <c r="AM7" s="17">
        <v>10</v>
      </c>
      <c r="AN7" s="17">
        <f>AVERAGEIF(C:C, 10, K:K)</f>
        <v>0.74</v>
      </c>
      <c r="AV7" s="22">
        <v>5</v>
      </c>
      <c r="AW7" s="23">
        <f>AVERAGEIF(C:C, 5, S:S)</f>
        <v>0.8</v>
      </c>
      <c r="AX7" s="23">
        <f>AVERAGEIF(C:C, 5, T:T)</f>
        <v>1</v>
      </c>
      <c r="AY7" s="23">
        <f>AVERAGEIF(C:C, 5, U:U)</f>
        <v>0.5</v>
      </c>
      <c r="AZ7" s="23">
        <f>AVERAGEIF(C:C, 5, V:V)</f>
        <v>1</v>
      </c>
      <c r="BA7" s="23">
        <f>AVERAGEIF(C:C, 5, W:W)</f>
        <v>1</v>
      </c>
      <c r="BE7" s="34">
        <v>5</v>
      </c>
      <c r="BF7" s="34">
        <v>0.8</v>
      </c>
      <c r="BG7" s="34" t="s">
        <v>43</v>
      </c>
      <c r="BH7" s="34">
        <v>0.5</v>
      </c>
      <c r="BI7" s="34" t="s">
        <v>43</v>
      </c>
      <c r="BJ7" s="34" t="s">
        <v>43</v>
      </c>
      <c r="BK7" s="6">
        <f t="shared" si="2"/>
        <v>0.65</v>
      </c>
      <c r="BM7">
        <v>5</v>
      </c>
      <c r="BN7">
        <v>0.8</v>
      </c>
      <c r="BO7" t="s">
        <v>43</v>
      </c>
      <c r="BP7">
        <v>0.5</v>
      </c>
      <c r="BQ7" t="s">
        <v>43</v>
      </c>
      <c r="BR7" t="s">
        <v>43</v>
      </c>
      <c r="BS7" s="40">
        <f t="shared" si="3"/>
        <v>0.65</v>
      </c>
    </row>
    <row r="8" spans="1:71">
      <c r="A8" s="1">
        <v>1</v>
      </c>
      <c r="B8" s="2" t="s">
        <v>12</v>
      </c>
      <c r="C8" s="10">
        <v>6</v>
      </c>
      <c r="D8" s="2" t="s">
        <v>20</v>
      </c>
      <c r="E8" s="2">
        <v>0</v>
      </c>
      <c r="F8" s="2">
        <v>0</v>
      </c>
      <c r="G8" s="2">
        <v>0</v>
      </c>
      <c r="H8" s="2">
        <v>1</v>
      </c>
      <c r="I8" s="2">
        <v>0</v>
      </c>
      <c r="J8" s="9">
        <f t="shared" si="1"/>
        <v>0</v>
      </c>
      <c r="K8" s="7">
        <f t="shared" si="4"/>
        <v>1</v>
      </c>
      <c r="L8" s="10">
        <v>6</v>
      </c>
      <c r="M8" s="36">
        <v>0</v>
      </c>
      <c r="N8" s="36">
        <v>0</v>
      </c>
      <c r="O8" s="36">
        <v>0</v>
      </c>
      <c r="P8" s="36">
        <v>1</v>
      </c>
      <c r="Q8" s="36">
        <v>0</v>
      </c>
      <c r="R8" s="13"/>
      <c r="S8">
        <f t="shared" si="0"/>
        <v>1</v>
      </c>
      <c r="T8">
        <f t="shared" si="0"/>
        <v>1</v>
      </c>
      <c r="U8">
        <f t="shared" si="0"/>
        <v>1</v>
      </c>
      <c r="V8">
        <f t="shared" si="0"/>
        <v>1</v>
      </c>
      <c r="W8">
        <f t="shared" si="0"/>
        <v>1</v>
      </c>
      <c r="X8" s="9">
        <v>0.5</v>
      </c>
      <c r="AG8" s="17">
        <v>6</v>
      </c>
      <c r="AH8" s="29">
        <f>AVERAGE(K83:K98)</f>
        <v>0.796875</v>
      </c>
      <c r="AJ8" s="17">
        <v>12</v>
      </c>
      <c r="AK8" s="17">
        <f>AVERAGEIF(C:C, 12, K:K)</f>
        <v>0.75</v>
      </c>
      <c r="AM8" s="17">
        <v>11</v>
      </c>
      <c r="AN8" s="17">
        <f>AVERAGEIF(C:C, 11, K:K)</f>
        <v>0.53999999999999992</v>
      </c>
      <c r="AV8" s="17">
        <v>6</v>
      </c>
      <c r="AW8" s="6">
        <f>AVERAGEIF(C:C, 6, S:S)</f>
        <v>0.7</v>
      </c>
      <c r="AX8" s="6">
        <f>AVERAGEIF(C:C, 6, T:T)</f>
        <v>0.9</v>
      </c>
      <c r="AY8" s="6">
        <f>AVERAGEIF(C:C, 6, U:U)</f>
        <v>1</v>
      </c>
      <c r="AZ8" s="6">
        <f>AVERAGEIF(C:C, 6, V:V)</f>
        <v>0.9</v>
      </c>
      <c r="BA8" s="6">
        <f>AVERAGEIF(C:C, 6, W:W)</f>
        <v>0.9</v>
      </c>
      <c r="BE8" s="34">
        <v>6</v>
      </c>
      <c r="BF8" s="34">
        <v>0.7</v>
      </c>
      <c r="BG8" s="34">
        <v>0.9</v>
      </c>
      <c r="BH8" s="34">
        <v>1</v>
      </c>
      <c r="BI8" s="34">
        <v>0.9</v>
      </c>
      <c r="BJ8" s="34">
        <v>0.9</v>
      </c>
      <c r="BK8" s="6">
        <f t="shared" si="2"/>
        <v>0.88000000000000012</v>
      </c>
      <c r="BM8">
        <v>6</v>
      </c>
      <c r="BN8">
        <v>0.5</v>
      </c>
      <c r="BO8">
        <v>0.9</v>
      </c>
      <c r="BP8">
        <v>0.5</v>
      </c>
      <c r="BQ8">
        <v>0.9</v>
      </c>
      <c r="BR8">
        <v>0.8</v>
      </c>
      <c r="BS8" s="39">
        <f t="shared" si="3"/>
        <v>0.72</v>
      </c>
    </row>
    <row r="9" spans="1:71">
      <c r="A9" s="1">
        <v>1</v>
      </c>
      <c r="B9" s="2" t="s">
        <v>12</v>
      </c>
      <c r="C9" s="10">
        <v>7</v>
      </c>
      <c r="D9" s="2" t="s">
        <v>21</v>
      </c>
      <c r="E9" s="2">
        <v>0</v>
      </c>
      <c r="F9" s="2">
        <v>0</v>
      </c>
      <c r="G9" s="2">
        <v>1</v>
      </c>
      <c r="H9" s="2">
        <v>0</v>
      </c>
      <c r="I9" s="2">
        <v>0</v>
      </c>
      <c r="J9" s="9">
        <f t="shared" si="1"/>
        <v>-3</v>
      </c>
      <c r="K9" s="7">
        <f t="shared" si="4"/>
        <v>0.5</v>
      </c>
      <c r="L9" s="10">
        <v>7</v>
      </c>
      <c r="M9" s="35">
        <v>1</v>
      </c>
      <c r="N9" s="35">
        <v>0</v>
      </c>
      <c r="O9" s="35">
        <v>1</v>
      </c>
      <c r="P9" s="35">
        <v>0</v>
      </c>
      <c r="Q9" s="35">
        <v>0</v>
      </c>
      <c r="R9" s="13"/>
      <c r="S9">
        <f t="shared" si="0"/>
        <v>0</v>
      </c>
      <c r="T9">
        <f t="shared" si="0"/>
        <v>1</v>
      </c>
      <c r="U9">
        <f t="shared" si="0"/>
        <v>1</v>
      </c>
      <c r="V9">
        <f t="shared" si="0"/>
        <v>1</v>
      </c>
      <c r="W9">
        <f t="shared" si="0"/>
        <v>1</v>
      </c>
      <c r="X9" s="9">
        <v>0.5</v>
      </c>
      <c r="AG9" s="17">
        <v>7</v>
      </c>
      <c r="AH9" s="29">
        <f>AVERAGE(K99:K114)</f>
        <v>0.68750000000000011</v>
      </c>
      <c r="AM9" s="17">
        <v>13</v>
      </c>
      <c r="AN9" s="17">
        <f>AVERAGEIF(C:C, 13, K:K)</f>
        <v>0.72</v>
      </c>
      <c r="AV9" s="22">
        <v>7</v>
      </c>
      <c r="AW9" s="23">
        <f>AVERAGEIF(C:C, 7, S:S)</f>
        <v>0.9</v>
      </c>
      <c r="AX9" s="23">
        <f>AVERAGEIF(C:C, 7, T:T)</f>
        <v>1</v>
      </c>
      <c r="AY9" s="23">
        <f>AVERAGEIF(C:C, 7, U:U)</f>
        <v>0.6</v>
      </c>
      <c r="AZ9" s="23">
        <f>AVERAGEIF(C:C, 7, V:V)</f>
        <v>1</v>
      </c>
      <c r="BA9" s="23">
        <f>AVERAGEIF(C:C, 7, W:W)</f>
        <v>1</v>
      </c>
      <c r="BE9" s="34">
        <v>7</v>
      </c>
      <c r="BF9" s="34">
        <v>0.9</v>
      </c>
      <c r="BG9" s="34" t="s">
        <v>43</v>
      </c>
      <c r="BH9" s="34">
        <v>0.6</v>
      </c>
      <c r="BI9" s="34" t="s">
        <v>43</v>
      </c>
      <c r="BJ9" s="34" t="s">
        <v>43</v>
      </c>
      <c r="BK9" s="6">
        <f t="shared" si="2"/>
        <v>0.75</v>
      </c>
      <c r="BM9">
        <v>7</v>
      </c>
      <c r="BN9">
        <v>0.9</v>
      </c>
      <c r="BO9" t="s">
        <v>43</v>
      </c>
      <c r="BP9">
        <v>0.6</v>
      </c>
      <c r="BQ9" t="s">
        <v>43</v>
      </c>
      <c r="BR9" t="s">
        <v>43</v>
      </c>
      <c r="BS9" s="40">
        <f t="shared" si="3"/>
        <v>0.75</v>
      </c>
    </row>
    <row r="10" spans="1:71">
      <c r="A10" s="1">
        <v>1</v>
      </c>
      <c r="B10" s="2" t="s">
        <v>12</v>
      </c>
      <c r="C10" s="10">
        <v>8</v>
      </c>
      <c r="D10" s="2" t="s">
        <v>22</v>
      </c>
      <c r="E10" s="2">
        <v>0</v>
      </c>
      <c r="F10" s="2">
        <v>0</v>
      </c>
      <c r="G10" s="2">
        <v>0</v>
      </c>
      <c r="H10" s="2">
        <v>1</v>
      </c>
      <c r="I10" s="2">
        <v>0</v>
      </c>
      <c r="J10" s="9">
        <f t="shared" si="1"/>
        <v>0</v>
      </c>
      <c r="K10" s="7">
        <f t="shared" si="4"/>
        <v>0.8</v>
      </c>
      <c r="L10" s="10">
        <v>8</v>
      </c>
      <c r="M10" s="36">
        <v>1</v>
      </c>
      <c r="N10" s="36">
        <v>0</v>
      </c>
      <c r="O10" s="36">
        <v>0</v>
      </c>
      <c r="P10" s="36">
        <v>1</v>
      </c>
      <c r="Q10" s="36">
        <v>0</v>
      </c>
      <c r="R10" s="13"/>
      <c r="S10">
        <f t="shared" si="0"/>
        <v>0</v>
      </c>
      <c r="T10">
        <f t="shared" si="0"/>
        <v>1</v>
      </c>
      <c r="U10">
        <f t="shared" si="0"/>
        <v>1</v>
      </c>
      <c r="V10">
        <f t="shared" si="0"/>
        <v>1</v>
      </c>
      <c r="W10">
        <f t="shared" si="0"/>
        <v>1</v>
      </c>
      <c r="X10" s="9">
        <v>0.5</v>
      </c>
      <c r="AG10" s="17">
        <v>8</v>
      </c>
      <c r="AH10" s="29">
        <f>AVERAGE(K115:K130)</f>
        <v>0.73750000000000004</v>
      </c>
      <c r="AJ10" s="17">
        <v>14</v>
      </c>
      <c r="AK10" s="17">
        <f>AVERAGEIF(C:C, 14, K:K)</f>
        <v>0.7</v>
      </c>
      <c r="AV10" s="17">
        <v>8</v>
      </c>
      <c r="AW10" s="6">
        <f>AVERAGEIF(C:C, 8, S:S)</f>
        <v>0.5</v>
      </c>
      <c r="AX10" s="6">
        <f>AVERAGEIF(C:C, 8, T:T)</f>
        <v>0.8</v>
      </c>
      <c r="AY10" s="6">
        <f>AVERAGEIF(C:C, 8, U:U)</f>
        <v>1</v>
      </c>
      <c r="AZ10" s="6">
        <f>AVERAGEIF(C:C, 8, V:V)</f>
        <v>0.9</v>
      </c>
      <c r="BA10" s="6">
        <f>AVERAGEIF(C:C, 8, W:W)</f>
        <v>0.9</v>
      </c>
      <c r="BE10" s="34">
        <v>8</v>
      </c>
      <c r="BF10" s="34">
        <v>0.5</v>
      </c>
      <c r="BG10" s="34">
        <v>0.8</v>
      </c>
      <c r="BH10" s="34">
        <v>1</v>
      </c>
      <c r="BI10" s="34">
        <v>0.9</v>
      </c>
      <c r="BJ10" s="34">
        <v>0.9</v>
      </c>
      <c r="BK10" s="6">
        <f t="shared" si="2"/>
        <v>0.82</v>
      </c>
      <c r="BM10">
        <v>8</v>
      </c>
      <c r="BN10">
        <v>0.6</v>
      </c>
      <c r="BO10">
        <v>0.9</v>
      </c>
      <c r="BP10">
        <v>0.7</v>
      </c>
      <c r="BQ10">
        <v>0.9</v>
      </c>
      <c r="BR10">
        <v>0.7</v>
      </c>
      <c r="BS10" s="39">
        <f t="shared" si="3"/>
        <v>0.76</v>
      </c>
    </row>
    <row r="11" spans="1:71">
      <c r="A11" s="1">
        <v>1</v>
      </c>
      <c r="B11" s="2" t="s">
        <v>12</v>
      </c>
      <c r="C11" s="10">
        <v>9</v>
      </c>
      <c r="D11" s="2" t="s">
        <v>23</v>
      </c>
      <c r="E11" s="2">
        <v>0</v>
      </c>
      <c r="F11" s="2">
        <v>0</v>
      </c>
      <c r="G11" s="2">
        <v>1</v>
      </c>
      <c r="H11" s="2">
        <v>0</v>
      </c>
      <c r="I11" s="2">
        <v>0</v>
      </c>
      <c r="J11" s="9">
        <f t="shared" si="1"/>
        <v>-3</v>
      </c>
      <c r="K11" s="7">
        <f t="shared" si="4"/>
        <v>0.5</v>
      </c>
      <c r="L11" s="10">
        <v>9</v>
      </c>
      <c r="M11" s="35">
        <v>1</v>
      </c>
      <c r="N11" s="35">
        <v>0</v>
      </c>
      <c r="O11" s="35">
        <v>1</v>
      </c>
      <c r="P11" s="35">
        <v>0</v>
      </c>
      <c r="Q11" s="35">
        <v>0</v>
      </c>
      <c r="R11" s="13"/>
      <c r="S11">
        <f t="shared" si="0"/>
        <v>0</v>
      </c>
      <c r="T11">
        <f t="shared" si="0"/>
        <v>1</v>
      </c>
      <c r="U11">
        <f t="shared" si="0"/>
        <v>1</v>
      </c>
      <c r="V11">
        <f t="shared" si="0"/>
        <v>1</v>
      </c>
      <c r="W11">
        <f t="shared" si="0"/>
        <v>1</v>
      </c>
      <c r="X11" s="9">
        <v>0.5</v>
      </c>
      <c r="AG11" s="17">
        <v>9</v>
      </c>
      <c r="AH11" s="29">
        <f>AVERAGE(K131:K146)</f>
        <v>0.90624999999999989</v>
      </c>
      <c r="AJ11" s="25" t="s">
        <v>44</v>
      </c>
      <c r="AK11" s="25" t="s">
        <v>40</v>
      </c>
      <c r="AM11" s="17">
        <v>15</v>
      </c>
      <c r="AN11" s="17">
        <f>AVERAGEIF(C:C, 15, K:K)</f>
        <v>0.72</v>
      </c>
      <c r="AV11" s="22">
        <v>9</v>
      </c>
      <c r="AW11" s="23">
        <f>AVERAGEIF(C:C, 9, S:S)</f>
        <v>0.9</v>
      </c>
      <c r="AX11" s="23">
        <f>AVERAGEIF(C:C, 9, T:T)</f>
        <v>1</v>
      </c>
      <c r="AY11" s="23">
        <f>AVERAGEIF(C:C, 9, U:U)</f>
        <v>0.4</v>
      </c>
      <c r="AZ11" s="23">
        <f>AVERAGEIF(C:C, 9, V:V)</f>
        <v>1</v>
      </c>
      <c r="BA11" s="23">
        <f>AVERAGEIF(C:C, 9, W:W)</f>
        <v>1</v>
      </c>
      <c r="BE11" s="34">
        <v>9</v>
      </c>
      <c r="BF11" s="34">
        <v>0.9</v>
      </c>
      <c r="BG11" s="34" t="s">
        <v>43</v>
      </c>
      <c r="BH11" s="34">
        <v>0.4</v>
      </c>
      <c r="BI11" s="34" t="s">
        <v>43</v>
      </c>
      <c r="BJ11" s="34" t="s">
        <v>43</v>
      </c>
      <c r="BK11" s="6">
        <f t="shared" si="2"/>
        <v>0.65</v>
      </c>
      <c r="BM11">
        <v>9</v>
      </c>
      <c r="BN11">
        <v>0.9</v>
      </c>
      <c r="BO11" t="s">
        <v>43</v>
      </c>
      <c r="BP11">
        <v>0.4</v>
      </c>
      <c r="BQ11" t="s">
        <v>43</v>
      </c>
      <c r="BR11" t="s">
        <v>43</v>
      </c>
      <c r="BS11" s="40">
        <f t="shared" si="3"/>
        <v>0.65</v>
      </c>
    </row>
    <row r="12" spans="1:71">
      <c r="A12" s="1">
        <v>1</v>
      </c>
      <c r="B12" s="2" t="s">
        <v>12</v>
      </c>
      <c r="C12" s="10">
        <v>10</v>
      </c>
      <c r="D12" s="2" t="s">
        <v>24</v>
      </c>
      <c r="E12" s="2">
        <v>0</v>
      </c>
      <c r="F12" s="2">
        <v>0</v>
      </c>
      <c r="G12" s="2">
        <v>0</v>
      </c>
      <c r="H12" s="2">
        <v>1</v>
      </c>
      <c r="I12" s="2">
        <v>0</v>
      </c>
      <c r="J12" s="9">
        <f t="shared" si="1"/>
        <v>0</v>
      </c>
      <c r="K12" s="7">
        <f t="shared" si="4"/>
        <v>0.8</v>
      </c>
      <c r="L12" s="10">
        <v>10</v>
      </c>
      <c r="M12" s="36">
        <v>0</v>
      </c>
      <c r="N12" s="36">
        <v>1</v>
      </c>
      <c r="O12" s="36">
        <v>0</v>
      </c>
      <c r="P12" s="36">
        <v>1</v>
      </c>
      <c r="Q12" s="36">
        <v>0</v>
      </c>
      <c r="R12" s="13"/>
      <c r="S12">
        <f t="shared" si="0"/>
        <v>1</v>
      </c>
      <c r="T12">
        <f t="shared" si="0"/>
        <v>0</v>
      </c>
      <c r="U12">
        <f t="shared" si="0"/>
        <v>1</v>
      </c>
      <c r="V12">
        <f t="shared" si="0"/>
        <v>1</v>
      </c>
      <c r="W12">
        <f t="shared" si="0"/>
        <v>1</v>
      </c>
      <c r="X12" s="9">
        <v>0.5</v>
      </c>
      <c r="AG12" s="17">
        <v>10</v>
      </c>
      <c r="AH12" s="29">
        <f>AVERAGE(K147:K162)</f>
        <v>0.61562499999999998</v>
      </c>
      <c r="AV12" s="17">
        <v>10</v>
      </c>
      <c r="AW12" s="6">
        <f>AVERAGEIF(C:C, 10, S:S)</f>
        <v>0.7</v>
      </c>
      <c r="AX12" s="6">
        <f>AVERAGEIF(C:C, 10, T:T)</f>
        <v>0.3</v>
      </c>
      <c r="AY12" s="6">
        <f>AVERAGEIF(C:C, 10, U:U)</f>
        <v>0.9</v>
      </c>
      <c r="AZ12" s="6">
        <f>AVERAGEIF(C:C, 10, V:V)</f>
        <v>0.9</v>
      </c>
      <c r="BA12" s="6">
        <f>AVERAGEIF(C:C, 10, W:W)</f>
        <v>0.9</v>
      </c>
      <c r="BE12" s="34">
        <v>10</v>
      </c>
      <c r="BF12" s="34">
        <v>0.7</v>
      </c>
      <c r="BG12" s="34">
        <v>0.3</v>
      </c>
      <c r="BH12" s="34">
        <v>0.9</v>
      </c>
      <c r="BI12" s="34">
        <v>0.9</v>
      </c>
      <c r="BJ12" s="34">
        <v>0.9</v>
      </c>
      <c r="BK12" s="6">
        <f t="shared" si="2"/>
        <v>0.74</v>
      </c>
      <c r="BM12">
        <v>10</v>
      </c>
      <c r="BN12">
        <v>0.8</v>
      </c>
      <c r="BO12">
        <v>0.8</v>
      </c>
      <c r="BP12">
        <v>0.7</v>
      </c>
      <c r="BQ12">
        <v>0.9</v>
      </c>
      <c r="BR12">
        <v>0.9</v>
      </c>
      <c r="BS12" s="6">
        <f t="shared" si="3"/>
        <v>0.82</v>
      </c>
    </row>
    <row r="13" spans="1:71">
      <c r="A13" s="1">
        <v>1</v>
      </c>
      <c r="B13" s="2" t="s">
        <v>12</v>
      </c>
      <c r="C13" s="10">
        <v>11</v>
      </c>
      <c r="D13" s="2" t="s">
        <v>25</v>
      </c>
      <c r="E13" s="2">
        <v>0</v>
      </c>
      <c r="F13" s="2">
        <v>0</v>
      </c>
      <c r="G13" s="2">
        <v>1</v>
      </c>
      <c r="H13" s="2">
        <v>1</v>
      </c>
      <c r="I13" s="2">
        <v>0</v>
      </c>
      <c r="J13" s="9">
        <f t="shared" si="1"/>
        <v>0</v>
      </c>
      <c r="K13" s="7">
        <f t="shared" si="4"/>
        <v>0.6</v>
      </c>
      <c r="L13" s="10">
        <v>11</v>
      </c>
      <c r="M13" s="35">
        <v>1</v>
      </c>
      <c r="N13" s="35">
        <v>0</v>
      </c>
      <c r="O13" s="35">
        <v>1</v>
      </c>
      <c r="P13" s="35">
        <v>0</v>
      </c>
      <c r="Q13" s="35">
        <v>0</v>
      </c>
      <c r="R13" s="13"/>
      <c r="S13">
        <f t="shared" si="0"/>
        <v>0</v>
      </c>
      <c r="T13">
        <f t="shared" si="0"/>
        <v>1</v>
      </c>
      <c r="U13">
        <f t="shared" si="0"/>
        <v>1</v>
      </c>
      <c r="V13">
        <f t="shared" si="0"/>
        <v>0</v>
      </c>
      <c r="W13">
        <f t="shared" si="0"/>
        <v>1</v>
      </c>
      <c r="X13" s="9">
        <v>0.5</v>
      </c>
      <c r="AG13" s="25" t="s">
        <v>45</v>
      </c>
      <c r="AH13" s="26">
        <f>AVERAGE(K3:K162)</f>
        <v>0.7140624999999996</v>
      </c>
      <c r="AI13">
        <f>AVERAGE(AH3:AH12)</f>
        <v>0.71406250000000004</v>
      </c>
      <c r="AJ13" s="17">
        <v>16</v>
      </c>
      <c r="AK13" s="17">
        <f>AVERAGEIF(C:C, 16, K:K)</f>
        <v>0.57499999999999996</v>
      </c>
      <c r="AV13" s="17">
        <v>11</v>
      </c>
      <c r="AW13" s="6">
        <f>AVERAGEIF(C:C, 11, S:S)</f>
        <v>0.6</v>
      </c>
      <c r="AX13" s="6">
        <f>AVERAGEIF(C:C, 11, T:T)</f>
        <v>0.8</v>
      </c>
      <c r="AY13" s="6">
        <f>AVERAGEIF(C:C, 11, U:U)</f>
        <v>0.3</v>
      </c>
      <c r="AZ13" s="6">
        <f>AVERAGEIF(C:C, 11, V:V)</f>
        <v>0.1</v>
      </c>
      <c r="BA13" s="6">
        <f>AVERAGEIF(C:C, 11, W:W)</f>
        <v>0.9</v>
      </c>
      <c r="BE13" s="34">
        <v>11</v>
      </c>
      <c r="BF13" s="34">
        <v>0.6</v>
      </c>
      <c r="BG13" s="34">
        <v>0.8</v>
      </c>
      <c r="BH13" s="34">
        <v>0.3</v>
      </c>
      <c r="BI13" s="34">
        <v>0.1</v>
      </c>
      <c r="BJ13" s="34">
        <v>0.9</v>
      </c>
      <c r="BK13" s="6">
        <f t="shared" si="2"/>
        <v>0.54</v>
      </c>
      <c r="BM13">
        <v>11</v>
      </c>
      <c r="BN13">
        <v>0.7</v>
      </c>
      <c r="BO13">
        <v>0.9</v>
      </c>
      <c r="BP13">
        <v>0.6</v>
      </c>
      <c r="BQ13">
        <v>0.9</v>
      </c>
      <c r="BR13">
        <v>0.9</v>
      </c>
      <c r="BS13" s="6">
        <f t="shared" si="3"/>
        <v>0.8</v>
      </c>
    </row>
    <row r="14" spans="1:71">
      <c r="A14" s="1">
        <v>1</v>
      </c>
      <c r="B14" s="2" t="s">
        <v>12</v>
      </c>
      <c r="C14" s="10">
        <v>12</v>
      </c>
      <c r="D14" s="2" t="s">
        <v>26</v>
      </c>
      <c r="E14" s="2">
        <v>0</v>
      </c>
      <c r="F14" s="2">
        <v>0</v>
      </c>
      <c r="G14" s="2">
        <v>1</v>
      </c>
      <c r="H14" s="2">
        <v>0</v>
      </c>
      <c r="I14" s="2">
        <v>0</v>
      </c>
      <c r="J14" s="9">
        <f t="shared" si="1"/>
        <v>-3</v>
      </c>
      <c r="K14" s="7">
        <f t="shared" si="4"/>
        <v>0.5</v>
      </c>
      <c r="L14" s="10">
        <v>12</v>
      </c>
      <c r="M14" s="35">
        <v>1</v>
      </c>
      <c r="N14" s="35">
        <v>0</v>
      </c>
      <c r="O14" s="35">
        <v>1</v>
      </c>
      <c r="P14" s="35">
        <v>0</v>
      </c>
      <c r="Q14" s="35">
        <v>0</v>
      </c>
      <c r="R14" s="13"/>
      <c r="S14">
        <f t="shared" si="0"/>
        <v>0</v>
      </c>
      <c r="T14">
        <f t="shared" si="0"/>
        <v>1</v>
      </c>
      <c r="U14">
        <f t="shared" si="0"/>
        <v>1</v>
      </c>
      <c r="V14">
        <f t="shared" si="0"/>
        <v>1</v>
      </c>
      <c r="W14">
        <f t="shared" si="0"/>
        <v>1</v>
      </c>
      <c r="X14" s="9">
        <v>0.5</v>
      </c>
      <c r="AG14" s="25" t="s">
        <v>46</v>
      </c>
      <c r="AH14" s="27">
        <f>STDEVP(K3:K162)</f>
        <v>0.23506461046646396</v>
      </c>
      <c r="AI14">
        <f>STDEV(AH3:AH12)</f>
        <v>0.11091915928203458</v>
      </c>
      <c r="AV14" s="22">
        <v>12</v>
      </c>
      <c r="AW14" s="23">
        <f>AVERAGEIF(C:C, 12, S:S)</f>
        <v>0.9</v>
      </c>
      <c r="AX14" s="23">
        <f>AVERAGEIF(C:C, 12, T:T)</f>
        <v>1</v>
      </c>
      <c r="AY14" s="23">
        <f>AVERAGEIF(C:C, 12, U:U)</f>
        <v>0.6</v>
      </c>
      <c r="AZ14" s="23">
        <f>AVERAGEIF(C:C, 12, V:V)</f>
        <v>1</v>
      </c>
      <c r="BA14" s="23">
        <f>AVERAGEIF(C:C, 12, W:W)</f>
        <v>1</v>
      </c>
      <c r="BE14" s="34">
        <v>12</v>
      </c>
      <c r="BF14" s="34">
        <v>0.9</v>
      </c>
      <c r="BG14" s="34" t="s">
        <v>43</v>
      </c>
      <c r="BH14" s="34">
        <v>0.6</v>
      </c>
      <c r="BI14" s="34" t="s">
        <v>43</v>
      </c>
      <c r="BJ14" s="34" t="s">
        <v>43</v>
      </c>
      <c r="BK14" s="6">
        <f t="shared" si="2"/>
        <v>0.75</v>
      </c>
      <c r="BM14">
        <v>12</v>
      </c>
      <c r="BN14">
        <v>0.9</v>
      </c>
      <c r="BO14" t="s">
        <v>43</v>
      </c>
      <c r="BP14">
        <v>0.6</v>
      </c>
      <c r="BQ14" t="s">
        <v>43</v>
      </c>
      <c r="BR14" t="s">
        <v>43</v>
      </c>
      <c r="BS14" s="40">
        <f t="shared" si="3"/>
        <v>0.75</v>
      </c>
    </row>
    <row r="15" spans="1:71">
      <c r="A15" s="1">
        <v>1</v>
      </c>
      <c r="B15" s="2" t="s">
        <v>12</v>
      </c>
      <c r="C15" s="10">
        <v>13</v>
      </c>
      <c r="D15" s="2" t="s">
        <v>27</v>
      </c>
      <c r="E15" s="2">
        <v>0</v>
      </c>
      <c r="F15" s="2">
        <v>0</v>
      </c>
      <c r="G15" s="2">
        <v>0</v>
      </c>
      <c r="H15" s="2">
        <v>1</v>
      </c>
      <c r="I15" s="2">
        <v>1</v>
      </c>
      <c r="J15" s="9">
        <f t="shared" si="1"/>
        <v>0</v>
      </c>
      <c r="K15" s="7">
        <f t="shared" si="4"/>
        <v>0.8</v>
      </c>
      <c r="L15" s="10">
        <v>13</v>
      </c>
      <c r="M15" s="35">
        <v>0</v>
      </c>
      <c r="N15" s="35">
        <v>1</v>
      </c>
      <c r="O15" s="35">
        <v>0</v>
      </c>
      <c r="P15" s="35">
        <v>1</v>
      </c>
      <c r="Q15" s="35">
        <v>1</v>
      </c>
      <c r="R15" s="13"/>
      <c r="S15">
        <f t="shared" si="0"/>
        <v>1</v>
      </c>
      <c r="T15">
        <f t="shared" si="0"/>
        <v>0</v>
      </c>
      <c r="U15">
        <f t="shared" si="0"/>
        <v>1</v>
      </c>
      <c r="V15">
        <f t="shared" si="0"/>
        <v>1</v>
      </c>
      <c r="W15">
        <f t="shared" si="0"/>
        <v>1</v>
      </c>
      <c r="X15" s="9">
        <v>0.5</v>
      </c>
      <c r="AV15" s="17">
        <v>13</v>
      </c>
      <c r="AW15" s="6">
        <f>AVERAGEIF(C:C, 13, S:S)</f>
        <v>0.7</v>
      </c>
      <c r="AX15" s="6">
        <f>AVERAGEIF(C:C, 13, T:T)</f>
        <v>0.5</v>
      </c>
      <c r="AY15" s="6">
        <f>AVERAGEIF(C:C, 13, U:U)</f>
        <v>0.9</v>
      </c>
      <c r="AZ15" s="6">
        <f>AVERAGEIF(C:C, 13, V:V)</f>
        <v>0.9</v>
      </c>
      <c r="BA15" s="6">
        <f>AVERAGEIF(C:C, 13, W:W)</f>
        <v>0.6</v>
      </c>
      <c r="BE15" s="34">
        <v>13</v>
      </c>
      <c r="BF15" s="34">
        <v>0.7</v>
      </c>
      <c r="BG15" s="34">
        <v>0.5</v>
      </c>
      <c r="BH15" s="34">
        <v>0.9</v>
      </c>
      <c r="BI15" s="34">
        <v>0.9</v>
      </c>
      <c r="BJ15" s="34">
        <v>0.6</v>
      </c>
      <c r="BK15" s="6">
        <f t="shared" si="2"/>
        <v>0.72</v>
      </c>
      <c r="BM15">
        <v>13</v>
      </c>
      <c r="BN15">
        <v>0.8</v>
      </c>
      <c r="BO15">
        <v>0.7</v>
      </c>
      <c r="BP15">
        <v>0.7</v>
      </c>
      <c r="BQ15">
        <v>0.9</v>
      </c>
      <c r="BR15">
        <v>0.4</v>
      </c>
      <c r="BS15" s="6">
        <f t="shared" si="3"/>
        <v>0.7</v>
      </c>
    </row>
    <row r="16" spans="1:71">
      <c r="A16" s="1">
        <v>1</v>
      </c>
      <c r="B16" s="2" t="s">
        <v>12</v>
      </c>
      <c r="C16" s="10">
        <v>14</v>
      </c>
      <c r="D16" s="2" t="s">
        <v>28</v>
      </c>
      <c r="E16" s="2">
        <v>0</v>
      </c>
      <c r="F16" s="2">
        <v>0</v>
      </c>
      <c r="G16" s="2">
        <v>1</v>
      </c>
      <c r="H16" s="2">
        <v>0</v>
      </c>
      <c r="I16" s="2">
        <v>0</v>
      </c>
      <c r="J16" s="9">
        <f t="shared" si="1"/>
        <v>-3</v>
      </c>
      <c r="K16" s="7">
        <f t="shared" si="4"/>
        <v>0.5</v>
      </c>
      <c r="L16" s="10">
        <v>14</v>
      </c>
      <c r="M16" s="35">
        <v>1</v>
      </c>
      <c r="N16" s="35">
        <v>0</v>
      </c>
      <c r="O16" s="35">
        <v>1</v>
      </c>
      <c r="P16" s="35">
        <v>0</v>
      </c>
      <c r="Q16" s="35">
        <v>0</v>
      </c>
      <c r="R16" s="13"/>
      <c r="S16">
        <f t="shared" si="0"/>
        <v>0</v>
      </c>
      <c r="T16">
        <f t="shared" si="0"/>
        <v>1</v>
      </c>
      <c r="U16">
        <f t="shared" si="0"/>
        <v>1</v>
      </c>
      <c r="V16">
        <f t="shared" si="0"/>
        <v>1</v>
      </c>
      <c r="W16">
        <f t="shared" si="0"/>
        <v>1</v>
      </c>
      <c r="X16" s="9">
        <v>0.5</v>
      </c>
      <c r="AV16" s="17">
        <v>14</v>
      </c>
      <c r="AW16" s="6">
        <f>AVERAGEIF(C:C, 14, S:S)</f>
        <v>0.9</v>
      </c>
      <c r="AX16" s="6">
        <f>AVERAGEIF(C:C, 14, T:T)</f>
        <v>1</v>
      </c>
      <c r="AY16" s="6">
        <f>AVERAGEIF(C:C, 14, U:U)</f>
        <v>0.5</v>
      </c>
      <c r="AZ16" s="6">
        <f>AVERAGEIF(C:C, 14, V:V)</f>
        <v>1</v>
      </c>
      <c r="BA16" s="6">
        <f>AVERAGEIF(C:C, 14, W:W)</f>
        <v>1</v>
      </c>
      <c r="BE16" s="34">
        <v>14</v>
      </c>
      <c r="BF16" s="34">
        <v>0.9</v>
      </c>
      <c r="BG16" s="34" t="s">
        <v>43</v>
      </c>
      <c r="BH16" s="34">
        <v>0.5</v>
      </c>
      <c r="BI16" s="34" t="s">
        <v>43</v>
      </c>
      <c r="BJ16" s="34" t="s">
        <v>43</v>
      </c>
      <c r="BK16" s="6">
        <f t="shared" si="2"/>
        <v>0.7</v>
      </c>
      <c r="BM16">
        <v>14</v>
      </c>
      <c r="BN16">
        <v>0.9</v>
      </c>
      <c r="BO16" t="s">
        <v>43</v>
      </c>
      <c r="BP16">
        <v>0.5</v>
      </c>
      <c r="BQ16" t="s">
        <v>43</v>
      </c>
      <c r="BR16" t="s">
        <v>43</v>
      </c>
      <c r="BS16" s="40">
        <f t="shared" si="3"/>
        <v>0.7</v>
      </c>
    </row>
    <row r="17" spans="1:71">
      <c r="A17" s="1">
        <v>1</v>
      </c>
      <c r="B17" s="2" t="s">
        <v>12</v>
      </c>
      <c r="C17" s="10">
        <v>15</v>
      </c>
      <c r="D17" s="2" t="s">
        <v>29</v>
      </c>
      <c r="E17" s="2">
        <v>0</v>
      </c>
      <c r="F17" s="2">
        <v>0</v>
      </c>
      <c r="G17" s="2">
        <v>0</v>
      </c>
      <c r="H17" s="2">
        <v>0</v>
      </c>
      <c r="I17" s="2">
        <v>1</v>
      </c>
      <c r="J17" s="9">
        <f t="shared" si="1"/>
        <v>0</v>
      </c>
      <c r="K17" s="7">
        <f t="shared" si="4"/>
        <v>0.4</v>
      </c>
      <c r="L17" s="10">
        <v>15</v>
      </c>
      <c r="M17" s="35">
        <v>0</v>
      </c>
      <c r="N17" s="35">
        <v>1</v>
      </c>
      <c r="O17" s="35">
        <v>0</v>
      </c>
      <c r="P17" s="35">
        <v>1</v>
      </c>
      <c r="Q17" s="35">
        <v>0</v>
      </c>
      <c r="R17" s="13"/>
      <c r="S17">
        <f t="shared" si="0"/>
        <v>1</v>
      </c>
      <c r="T17">
        <f t="shared" si="0"/>
        <v>0</v>
      </c>
      <c r="U17">
        <f t="shared" si="0"/>
        <v>1</v>
      </c>
      <c r="V17">
        <f t="shared" si="0"/>
        <v>0</v>
      </c>
      <c r="W17">
        <f t="shared" si="0"/>
        <v>0</v>
      </c>
      <c r="X17" s="9">
        <v>0.5</v>
      </c>
      <c r="AV17" s="17">
        <v>15</v>
      </c>
      <c r="AW17" s="6">
        <f>AVERAGEIF(C:C, 15, S:S)</f>
        <v>0.7</v>
      </c>
      <c r="AX17" s="6">
        <f>AVERAGEIF(C:C, 15, T:T)</f>
        <v>0.3</v>
      </c>
      <c r="AY17" s="6">
        <f>AVERAGEIF(C:C, 15, U:U)</f>
        <v>1</v>
      </c>
      <c r="AZ17" s="6">
        <f>AVERAGEIF(C:C, 15, V:V)</f>
        <v>0.8</v>
      </c>
      <c r="BA17" s="6">
        <f>AVERAGEIF(C:C, 15, W:W)</f>
        <v>0.8</v>
      </c>
      <c r="BE17" s="34">
        <v>15</v>
      </c>
      <c r="BF17" s="34">
        <v>0.7</v>
      </c>
      <c r="BG17" s="34">
        <v>0.3</v>
      </c>
      <c r="BH17" s="34">
        <v>1</v>
      </c>
      <c r="BI17" s="34">
        <v>0.8</v>
      </c>
      <c r="BJ17" s="34">
        <v>0.8</v>
      </c>
      <c r="BK17" s="6">
        <f t="shared" si="2"/>
        <v>0.72</v>
      </c>
      <c r="BM17">
        <v>15</v>
      </c>
      <c r="BN17">
        <v>0.5</v>
      </c>
      <c r="BO17">
        <v>0.8</v>
      </c>
      <c r="BP17">
        <v>0.5</v>
      </c>
      <c r="BQ17">
        <v>0.8</v>
      </c>
      <c r="BR17">
        <v>0.5</v>
      </c>
      <c r="BS17" s="39">
        <f t="shared" si="3"/>
        <v>0.62</v>
      </c>
    </row>
    <row r="18" spans="1:71">
      <c r="A18" s="1">
        <v>1</v>
      </c>
      <c r="B18" s="2" t="s">
        <v>30</v>
      </c>
      <c r="C18" s="10">
        <v>16</v>
      </c>
      <c r="D18" s="2" t="s">
        <v>31</v>
      </c>
      <c r="E18" s="2">
        <v>0</v>
      </c>
      <c r="F18" s="2">
        <v>0</v>
      </c>
      <c r="G18" s="2">
        <v>0</v>
      </c>
      <c r="H18" s="2">
        <v>0</v>
      </c>
      <c r="I18" s="2">
        <v>1</v>
      </c>
      <c r="J18" s="9">
        <f t="shared" si="1"/>
        <v>-1</v>
      </c>
      <c r="K18" s="7">
        <f t="shared" si="4"/>
        <v>0.25</v>
      </c>
      <c r="L18" s="10">
        <v>16</v>
      </c>
      <c r="M18" s="35">
        <v>1</v>
      </c>
      <c r="N18" s="35">
        <v>1</v>
      </c>
      <c r="O18" s="35">
        <v>1</v>
      </c>
      <c r="P18" s="35">
        <v>0</v>
      </c>
      <c r="Q18" s="35">
        <v>1</v>
      </c>
      <c r="R18" s="13"/>
      <c r="S18">
        <f t="shared" si="0"/>
        <v>0</v>
      </c>
      <c r="T18">
        <f t="shared" si="0"/>
        <v>0</v>
      </c>
      <c r="U18">
        <f t="shared" si="0"/>
        <v>0</v>
      </c>
      <c r="V18">
        <f t="shared" si="0"/>
        <v>1</v>
      </c>
      <c r="W18">
        <f t="shared" si="0"/>
        <v>1</v>
      </c>
      <c r="X18" s="9">
        <v>0.5</v>
      </c>
      <c r="AV18" s="17">
        <v>16</v>
      </c>
      <c r="AW18" s="20">
        <f>AVERAGEIF(C:C, 16, S:S)</f>
        <v>0.6</v>
      </c>
      <c r="AX18" s="21">
        <f>AVERAGEIF(C:C, 16, T:T)</f>
        <v>0.6</v>
      </c>
      <c r="AY18" s="21">
        <f>AVERAGEIF(C:C, 16, U:U)</f>
        <v>0.3</v>
      </c>
      <c r="AZ18" s="21">
        <f>AVERAGEIF(C:C, 16, V:V)</f>
        <v>1</v>
      </c>
      <c r="BA18" s="21">
        <f>AVERAGEIF(C:C, 16, W:W)</f>
        <v>0.8</v>
      </c>
      <c r="BE18" s="34">
        <v>16</v>
      </c>
      <c r="BF18" s="34">
        <v>0.6</v>
      </c>
      <c r="BG18" s="34">
        <v>0.6</v>
      </c>
      <c r="BH18" s="34">
        <v>0.3</v>
      </c>
      <c r="BI18" s="34" t="s">
        <v>43</v>
      </c>
      <c r="BJ18" s="34">
        <v>0.8</v>
      </c>
      <c r="BK18" s="6">
        <f t="shared" si="2"/>
        <v>0.57499999999999996</v>
      </c>
      <c r="BM18">
        <v>16</v>
      </c>
      <c r="BN18">
        <v>0.6</v>
      </c>
      <c r="BO18">
        <v>0.6</v>
      </c>
      <c r="BP18">
        <v>0.4</v>
      </c>
      <c r="BQ18" t="s">
        <v>43</v>
      </c>
      <c r="BR18">
        <v>0.8</v>
      </c>
      <c r="BS18" s="6">
        <f t="shared" si="3"/>
        <v>0.60000000000000009</v>
      </c>
    </row>
    <row r="19" spans="1:71">
      <c r="A19" s="1">
        <v>2</v>
      </c>
      <c r="B19" s="2" t="s">
        <v>12</v>
      </c>
      <c r="C19" s="10">
        <v>1</v>
      </c>
      <c r="D19" s="2" t="s">
        <v>32</v>
      </c>
      <c r="E19" s="2">
        <v>1</v>
      </c>
      <c r="F19" s="2">
        <v>0</v>
      </c>
      <c r="G19" s="2">
        <v>0</v>
      </c>
      <c r="H19" s="2">
        <v>0</v>
      </c>
      <c r="I19" s="2">
        <v>0</v>
      </c>
      <c r="J19" s="9">
        <f t="shared" si="1"/>
        <v>-3</v>
      </c>
      <c r="K19" s="7">
        <f t="shared" si="4"/>
        <v>0.5</v>
      </c>
      <c r="L19" s="10">
        <v>1</v>
      </c>
      <c r="M19" s="35">
        <v>1</v>
      </c>
      <c r="N19" s="35">
        <v>0</v>
      </c>
      <c r="O19" s="35">
        <v>1</v>
      </c>
      <c r="P19" s="35">
        <v>0</v>
      </c>
      <c r="Q19" s="35">
        <v>0</v>
      </c>
      <c r="R19" s="13"/>
      <c r="S19">
        <f t="shared" si="0"/>
        <v>1</v>
      </c>
      <c r="T19">
        <f t="shared" si="0"/>
        <v>1</v>
      </c>
      <c r="U19">
        <f t="shared" si="0"/>
        <v>0</v>
      </c>
      <c r="V19">
        <f t="shared" si="0"/>
        <v>1</v>
      </c>
      <c r="W19">
        <f t="shared" si="0"/>
        <v>1</v>
      </c>
      <c r="AV19" s="25" t="s">
        <v>47</v>
      </c>
      <c r="AW19" s="27">
        <f>AVERAGE(AW3:AW18)</f>
        <v>0.76249999999999996</v>
      </c>
      <c r="AX19" s="27">
        <f>AVERAGE(AX3:AX18)</f>
        <v>0.75624999999999998</v>
      </c>
      <c r="AY19" s="27">
        <f>AVERAGE(AY3:AY18)</f>
        <v>0.66875000000000007</v>
      </c>
      <c r="AZ19" s="27">
        <f>AVERAGE(AZ3:AZ18)</f>
        <v>0.88750000000000007</v>
      </c>
      <c r="BA19" s="27">
        <f>AVERAGE(BA3:BA18)</f>
        <v>0.87500000000000011</v>
      </c>
      <c r="BE19" s="34" t="s">
        <v>47</v>
      </c>
      <c r="BF19" s="37">
        <f>AVERAGE(BF3:BF18)</f>
        <v>0.76249999999999996</v>
      </c>
      <c r="BG19" s="37">
        <f>AVERAGE(BG3:BG18)</f>
        <v>0.56666666666666665</v>
      </c>
      <c r="BH19" s="37">
        <f>AVERAGE(BH3:BH18)</f>
        <v>0.66875000000000007</v>
      </c>
      <c r="BI19" s="37">
        <f>AVERAGE(BI3:BI18)</f>
        <v>0.77500000000000002</v>
      </c>
      <c r="BJ19" s="37">
        <f>AVERAGE(BJ3:BJ18)</f>
        <v>0.77777777777777768</v>
      </c>
      <c r="BK19" s="6">
        <f t="shared" si="2"/>
        <v>0.71013888888888888</v>
      </c>
      <c r="BM19" t="s">
        <v>47</v>
      </c>
      <c r="BN19" s="39">
        <f>AVERAGE(BN3:BN18)</f>
        <v>0.75000000000000011</v>
      </c>
      <c r="BO19" s="6">
        <f t="shared" ref="BO19:BR19" si="5">AVERAGE(BO3:BO18)</f>
        <v>0.75555555555555554</v>
      </c>
      <c r="BP19" s="39">
        <f t="shared" si="5"/>
        <v>0.56874999999999998</v>
      </c>
      <c r="BQ19" s="6">
        <f t="shared" si="5"/>
        <v>0.88750000000000007</v>
      </c>
      <c r="BR19" s="39">
        <f t="shared" si="5"/>
        <v>0.68888888888888888</v>
      </c>
      <c r="BS19" s="6">
        <f t="shared" si="3"/>
        <v>0.73013888888888889</v>
      </c>
    </row>
    <row r="20" spans="1:71">
      <c r="A20" s="1">
        <v>2</v>
      </c>
      <c r="B20" s="2" t="s">
        <v>12</v>
      </c>
      <c r="C20" s="10">
        <v>2</v>
      </c>
      <c r="D20" s="2" t="s">
        <v>16</v>
      </c>
      <c r="E20" s="2">
        <v>1</v>
      </c>
      <c r="F20" s="2">
        <v>1</v>
      </c>
      <c r="G20" s="2">
        <v>1</v>
      </c>
      <c r="H20" s="2">
        <v>1</v>
      </c>
      <c r="I20" s="2">
        <v>0</v>
      </c>
      <c r="J20" s="9">
        <f t="shared" si="1"/>
        <v>0</v>
      </c>
      <c r="K20" s="7">
        <f t="shared" si="4"/>
        <v>1</v>
      </c>
      <c r="L20" s="10">
        <v>2</v>
      </c>
      <c r="M20" s="36">
        <v>1</v>
      </c>
      <c r="N20" s="36">
        <v>1</v>
      </c>
      <c r="O20" s="36">
        <v>1</v>
      </c>
      <c r="P20" s="36">
        <v>1</v>
      </c>
      <c r="Q20" s="36">
        <v>0</v>
      </c>
      <c r="R20" s="13"/>
      <c r="S20">
        <f t="shared" si="0"/>
        <v>1</v>
      </c>
      <c r="T20">
        <f t="shared" si="0"/>
        <v>1</v>
      </c>
      <c r="U20">
        <f t="shared" si="0"/>
        <v>1</v>
      </c>
      <c r="V20">
        <f t="shared" si="0"/>
        <v>1</v>
      </c>
      <c r="W20">
        <f t="shared" si="0"/>
        <v>1</v>
      </c>
      <c r="AV20" s="25" t="s">
        <v>48</v>
      </c>
      <c r="AW20" s="27">
        <f>STDEV(AW3:AW18)</f>
        <v>0.15438048235879251</v>
      </c>
      <c r="AX20" s="27">
        <f>STDEV(AX3:AX18)</f>
        <v>0.27560539423845354</v>
      </c>
      <c r="AY20" s="27">
        <f>STDEV(AY3:AY18)</f>
        <v>0.24689741459426676</v>
      </c>
      <c r="AZ20" s="27">
        <f>STDEV(AZ3:AZ18)</f>
        <v>0.22173557826083434</v>
      </c>
      <c r="BA20" s="27">
        <f>STDEV(BA3:BA18)</f>
        <v>0.16931233465600351</v>
      </c>
      <c r="BE20" s="34" t="s">
        <v>49</v>
      </c>
      <c r="BF20" s="37">
        <f>AVERAGE(BF3,BF5,BF7,BF9,BF11,BF14,BF16)</f>
        <v>0.85714285714285732</v>
      </c>
      <c r="BG20" s="37" t="s">
        <v>43</v>
      </c>
      <c r="BH20" s="37">
        <f t="shared" ref="BH20:BP20" si="6">AVERAGE(BH3,BH5,BH7,BH9,BH11,BH14,BH16)</f>
        <v>0.5714285714285714</v>
      </c>
      <c r="BI20" s="37" t="s">
        <v>43</v>
      </c>
      <c r="BJ20" s="37" t="s">
        <v>43</v>
      </c>
      <c r="BK20" s="34"/>
      <c r="BL20" s="34"/>
      <c r="BM20" s="34" t="s">
        <v>49</v>
      </c>
      <c r="BN20" s="37">
        <f>AVERAGE(BN3,BN5,BN7,BN9,BN11,BN14,BN16)</f>
        <v>0.85714285714285732</v>
      </c>
      <c r="BO20" s="37" t="s">
        <v>43</v>
      </c>
      <c r="BP20" s="37">
        <f t="shared" si="6"/>
        <v>0.5714285714285714</v>
      </c>
      <c r="BQ20" s="37" t="s">
        <v>43</v>
      </c>
      <c r="BR20" s="37" t="s">
        <v>43</v>
      </c>
    </row>
    <row r="21" spans="1:71" ht="15.6" customHeight="1">
      <c r="A21" s="1">
        <v>2</v>
      </c>
      <c r="B21" s="2" t="s">
        <v>12</v>
      </c>
      <c r="C21" s="10">
        <v>3</v>
      </c>
      <c r="D21" s="2" t="s">
        <v>17</v>
      </c>
      <c r="E21" s="2">
        <v>1</v>
      </c>
      <c r="F21" s="2">
        <v>0</v>
      </c>
      <c r="G21" s="2">
        <v>0</v>
      </c>
      <c r="H21" s="2">
        <v>0</v>
      </c>
      <c r="I21" s="2">
        <v>0</v>
      </c>
      <c r="J21" s="9">
        <f t="shared" si="1"/>
        <v>-3</v>
      </c>
      <c r="K21" s="7">
        <f t="shared" si="4"/>
        <v>0.5</v>
      </c>
      <c r="L21" s="10">
        <v>3</v>
      </c>
      <c r="M21" s="35">
        <v>1</v>
      </c>
      <c r="N21" s="35">
        <v>0</v>
      </c>
      <c r="O21" s="35">
        <v>1</v>
      </c>
      <c r="P21" s="35">
        <v>0</v>
      </c>
      <c r="Q21" s="35">
        <v>0</v>
      </c>
      <c r="R21" s="13"/>
      <c r="S21">
        <f t="shared" si="0"/>
        <v>1</v>
      </c>
      <c r="T21">
        <f t="shared" si="0"/>
        <v>1</v>
      </c>
      <c r="U21">
        <f t="shared" si="0"/>
        <v>0</v>
      </c>
      <c r="V21">
        <f t="shared" si="0"/>
        <v>1</v>
      </c>
      <c r="W21">
        <f t="shared" si="0"/>
        <v>1</v>
      </c>
      <c r="BA21" s="6"/>
      <c r="BE21" s="34" t="s">
        <v>50</v>
      </c>
      <c r="BF21" s="37">
        <f>AVERAGE(BF4,BF6,BF8,BF10,BF12,BF13,BF15,BF17)</f>
        <v>0.7</v>
      </c>
      <c r="BG21" s="37">
        <f t="shared" ref="BG21:BR21" si="7">AVERAGE(BG4,BG6,BG8,BG10,BG12,BG13,BG15,BG17)</f>
        <v>0.5625</v>
      </c>
      <c r="BH21" s="37">
        <f t="shared" si="7"/>
        <v>0.8</v>
      </c>
      <c r="BI21" s="37">
        <f t="shared" si="7"/>
        <v>0.77500000000000002</v>
      </c>
      <c r="BJ21" s="37">
        <f t="shared" si="7"/>
        <v>0.77499999999999991</v>
      </c>
      <c r="BK21" s="34"/>
      <c r="BL21" s="34"/>
      <c r="BM21" s="34" t="s">
        <v>50</v>
      </c>
      <c r="BN21" s="38">
        <f t="shared" si="7"/>
        <v>0.67500000000000004</v>
      </c>
      <c r="BO21" s="37">
        <f t="shared" si="7"/>
        <v>0.77500000000000002</v>
      </c>
      <c r="BP21" s="38">
        <f t="shared" si="7"/>
        <v>0.58750000000000002</v>
      </c>
      <c r="BQ21" s="37">
        <f t="shared" si="7"/>
        <v>0.88750000000000007</v>
      </c>
      <c r="BR21" s="38">
        <f t="shared" si="7"/>
        <v>0.67500000000000004</v>
      </c>
    </row>
    <row r="22" spans="1:71" ht="15.6" customHeight="1">
      <c r="A22" s="1">
        <v>2</v>
      </c>
      <c r="B22" s="2" t="s">
        <v>12</v>
      </c>
      <c r="C22" s="10">
        <v>4</v>
      </c>
      <c r="D22" s="2" t="s">
        <v>18</v>
      </c>
      <c r="E22" s="2">
        <v>1</v>
      </c>
      <c r="F22" s="2">
        <v>0</v>
      </c>
      <c r="G22" s="2">
        <v>1</v>
      </c>
      <c r="H22" s="2">
        <v>1</v>
      </c>
      <c r="I22" s="2">
        <v>1</v>
      </c>
      <c r="J22" s="9">
        <f t="shared" si="1"/>
        <v>0</v>
      </c>
      <c r="K22" s="7">
        <f t="shared" si="4"/>
        <v>0.4</v>
      </c>
      <c r="L22" s="10">
        <v>4</v>
      </c>
      <c r="M22" s="36">
        <v>0</v>
      </c>
      <c r="N22" s="36">
        <v>1</v>
      </c>
      <c r="O22" s="36">
        <v>0</v>
      </c>
      <c r="P22" s="36">
        <v>1</v>
      </c>
      <c r="Q22" s="36">
        <v>1</v>
      </c>
      <c r="R22" s="13"/>
      <c r="S22">
        <f t="shared" si="0"/>
        <v>0</v>
      </c>
      <c r="T22">
        <f t="shared" si="0"/>
        <v>0</v>
      </c>
      <c r="U22">
        <f t="shared" si="0"/>
        <v>0</v>
      </c>
      <c r="V22">
        <f t="shared" si="0"/>
        <v>1</v>
      </c>
      <c r="W22">
        <f t="shared" si="0"/>
        <v>1</v>
      </c>
      <c r="AV22" s="22" t="s">
        <v>49</v>
      </c>
      <c r="AW22" s="28">
        <f>AVERAGE(AW3,AW5,AW7,AW9,AW11,AW14)</f>
        <v>0.85000000000000009</v>
      </c>
      <c r="AX22" s="28">
        <f>AVERAGE(AX3,AX5,AX7,AX9,AX11,AX14)</f>
        <v>1</v>
      </c>
      <c r="AY22" s="28">
        <f>AVERAGE(AY3,AY5,AY7,AY9,AY11,AY14)</f>
        <v>0.58333333333333337</v>
      </c>
      <c r="AZ22" s="28">
        <f>AVERAGE(AZ3,AZ5,AZ7,AZ9,AZ11,AZ14)</f>
        <v>1</v>
      </c>
      <c r="BA22" s="28">
        <f>AVERAGE(BA3,BA5,BA7,BA9,BA11,BA14)</f>
        <v>1</v>
      </c>
      <c r="BE22" s="34" t="s">
        <v>51</v>
      </c>
      <c r="BF22">
        <f>BF18</f>
        <v>0.6</v>
      </c>
      <c r="BG22">
        <f t="shared" ref="BG22:BR22" si="8">BG18</f>
        <v>0.6</v>
      </c>
      <c r="BH22">
        <f t="shared" si="8"/>
        <v>0.3</v>
      </c>
      <c r="BI22" t="str">
        <f t="shared" si="8"/>
        <v>X</v>
      </c>
      <c r="BJ22">
        <f t="shared" si="8"/>
        <v>0.8</v>
      </c>
      <c r="BM22" s="34" t="s">
        <v>51</v>
      </c>
      <c r="BN22">
        <f t="shared" si="8"/>
        <v>0.6</v>
      </c>
      <c r="BO22">
        <f t="shared" si="8"/>
        <v>0.6</v>
      </c>
      <c r="BP22">
        <f t="shared" si="8"/>
        <v>0.4</v>
      </c>
      <c r="BQ22" t="str">
        <f t="shared" si="8"/>
        <v>X</v>
      </c>
      <c r="BR22">
        <f t="shared" si="8"/>
        <v>0.8</v>
      </c>
    </row>
    <row r="23" spans="1:71" ht="15.6" customHeight="1">
      <c r="A23" s="1">
        <v>2</v>
      </c>
      <c r="B23" s="2" t="s">
        <v>12</v>
      </c>
      <c r="C23" s="10">
        <v>5</v>
      </c>
      <c r="D23" s="2" t="s">
        <v>19</v>
      </c>
      <c r="E23" s="2">
        <v>1</v>
      </c>
      <c r="F23" s="2">
        <v>0</v>
      </c>
      <c r="G23" s="2">
        <v>0</v>
      </c>
      <c r="H23" s="2">
        <v>0</v>
      </c>
      <c r="I23" s="2">
        <v>0</v>
      </c>
      <c r="J23" s="9">
        <f t="shared" si="1"/>
        <v>-3</v>
      </c>
      <c r="K23" s="7">
        <f t="shared" si="4"/>
        <v>0.5</v>
      </c>
      <c r="L23" s="10">
        <v>5</v>
      </c>
      <c r="M23" s="35">
        <v>1</v>
      </c>
      <c r="N23" s="35">
        <v>0</v>
      </c>
      <c r="O23" s="35">
        <v>1</v>
      </c>
      <c r="P23" s="35">
        <v>0</v>
      </c>
      <c r="Q23" s="35">
        <v>0</v>
      </c>
      <c r="R23" s="13"/>
      <c r="S23">
        <f t="shared" si="0"/>
        <v>1</v>
      </c>
      <c r="T23">
        <f t="shared" si="0"/>
        <v>1</v>
      </c>
      <c r="U23">
        <f t="shared" si="0"/>
        <v>0</v>
      </c>
      <c r="V23">
        <f t="shared" si="0"/>
        <v>1</v>
      </c>
      <c r="W23">
        <f t="shared" si="0"/>
        <v>1</v>
      </c>
      <c r="AV23" s="17" t="s">
        <v>50</v>
      </c>
      <c r="AW23" s="29">
        <f>AVERAGE(AW4,AW6,AW8,AW10,AW12:AW13,AW15:AW17)</f>
        <v>0.72222222222222221</v>
      </c>
      <c r="AX23" s="29">
        <f>AVERAGE(AX4,AX6,AX8,AX10,AX12:AX13,AX15:AX17)</f>
        <v>0.61111111111111116</v>
      </c>
      <c r="AY23" s="29">
        <f>AVERAGE(AY4,AY6,AY8,AY10,AY12:AY13,AY15:AY17)</f>
        <v>0.76666666666666672</v>
      </c>
      <c r="AZ23" s="29">
        <f>AVERAGE(AZ4,AZ6,AZ8,AZ10,AZ12:AZ13,AZ15:AZ17)</f>
        <v>0.8</v>
      </c>
      <c r="BA23" s="29">
        <f>AVERAGE(BA4,BA6,BA8,BA10,BA12:BA13,BA15:BA17)</f>
        <v>0.79999999999999993</v>
      </c>
    </row>
    <row r="24" spans="1:71">
      <c r="A24" s="1">
        <v>2</v>
      </c>
      <c r="B24" s="2" t="s">
        <v>12</v>
      </c>
      <c r="C24" s="10">
        <v>6</v>
      </c>
      <c r="D24" s="2" t="s">
        <v>20</v>
      </c>
      <c r="E24" s="2">
        <v>1</v>
      </c>
      <c r="F24" s="2">
        <v>0</v>
      </c>
      <c r="G24" s="2">
        <v>0</v>
      </c>
      <c r="H24" s="2">
        <v>1</v>
      </c>
      <c r="I24" s="2">
        <v>0</v>
      </c>
      <c r="J24" s="9">
        <f t="shared" si="1"/>
        <v>0</v>
      </c>
      <c r="K24" s="7">
        <f t="shared" si="4"/>
        <v>0.8</v>
      </c>
      <c r="L24" s="10">
        <v>6</v>
      </c>
      <c r="M24" s="36">
        <v>0</v>
      </c>
      <c r="N24" s="36">
        <v>0</v>
      </c>
      <c r="O24" s="36">
        <v>0</v>
      </c>
      <c r="P24" s="36">
        <v>1</v>
      </c>
      <c r="Q24" s="36">
        <v>0</v>
      </c>
      <c r="R24" s="13"/>
      <c r="S24">
        <f t="shared" si="0"/>
        <v>0</v>
      </c>
      <c r="T24">
        <f t="shared" si="0"/>
        <v>1</v>
      </c>
      <c r="U24">
        <f t="shared" si="0"/>
        <v>1</v>
      </c>
      <c r="V24">
        <f t="shared" si="0"/>
        <v>1</v>
      </c>
      <c r="W24">
        <f t="shared" si="0"/>
        <v>1</v>
      </c>
    </row>
    <row r="25" spans="1:71">
      <c r="A25" s="1">
        <v>2</v>
      </c>
      <c r="B25" s="2" t="s">
        <v>12</v>
      </c>
      <c r="C25" s="10">
        <v>7</v>
      </c>
      <c r="D25" s="2" t="s">
        <v>21</v>
      </c>
      <c r="E25" s="2">
        <v>1</v>
      </c>
      <c r="F25" s="2">
        <v>0</v>
      </c>
      <c r="G25" s="2">
        <v>0</v>
      </c>
      <c r="H25" s="2">
        <v>0</v>
      </c>
      <c r="I25" s="2">
        <v>0</v>
      </c>
      <c r="J25" s="9">
        <f t="shared" si="1"/>
        <v>-3</v>
      </c>
      <c r="K25" s="7">
        <f t="shared" si="4"/>
        <v>0.5</v>
      </c>
      <c r="L25" s="10">
        <v>7</v>
      </c>
      <c r="M25" s="35">
        <v>1</v>
      </c>
      <c r="N25" s="35">
        <v>0</v>
      </c>
      <c r="O25" s="35">
        <v>1</v>
      </c>
      <c r="P25" s="35">
        <v>0</v>
      </c>
      <c r="Q25" s="35">
        <v>0</v>
      </c>
      <c r="R25" s="13"/>
      <c r="S25">
        <f t="shared" si="0"/>
        <v>1</v>
      </c>
      <c r="T25">
        <f t="shared" si="0"/>
        <v>1</v>
      </c>
      <c r="U25">
        <f t="shared" si="0"/>
        <v>0</v>
      </c>
      <c r="V25">
        <f t="shared" si="0"/>
        <v>1</v>
      </c>
      <c r="W25">
        <f t="shared" si="0"/>
        <v>1</v>
      </c>
    </row>
    <row r="26" spans="1:71">
      <c r="A26" s="1">
        <v>2</v>
      </c>
      <c r="B26" s="2" t="s">
        <v>12</v>
      </c>
      <c r="C26" s="10">
        <v>8</v>
      </c>
      <c r="D26" s="2" t="s">
        <v>22</v>
      </c>
      <c r="E26" s="2">
        <v>1</v>
      </c>
      <c r="F26" s="2">
        <v>0</v>
      </c>
      <c r="G26" s="2">
        <v>0</v>
      </c>
      <c r="H26" s="2">
        <v>1</v>
      </c>
      <c r="I26" s="2">
        <v>0</v>
      </c>
      <c r="J26" s="9">
        <f t="shared" si="1"/>
        <v>0</v>
      </c>
      <c r="K26" s="7">
        <f t="shared" si="4"/>
        <v>1</v>
      </c>
      <c r="L26" s="10">
        <v>8</v>
      </c>
      <c r="M26" s="36">
        <v>1</v>
      </c>
      <c r="N26" s="36">
        <v>0</v>
      </c>
      <c r="O26" s="36">
        <v>0</v>
      </c>
      <c r="P26" s="36">
        <v>1</v>
      </c>
      <c r="Q26" s="36">
        <v>0</v>
      </c>
      <c r="R26" s="13"/>
      <c r="S26">
        <f t="shared" si="0"/>
        <v>1</v>
      </c>
      <c r="T26">
        <f t="shared" si="0"/>
        <v>1</v>
      </c>
      <c r="U26">
        <f t="shared" si="0"/>
        <v>1</v>
      </c>
      <c r="V26">
        <f t="shared" si="0"/>
        <v>1</v>
      </c>
      <c r="W26">
        <f t="shared" si="0"/>
        <v>1</v>
      </c>
    </row>
    <row r="27" spans="1:71">
      <c r="A27" s="1">
        <v>2</v>
      </c>
      <c r="B27" s="2" t="s">
        <v>12</v>
      </c>
      <c r="C27" s="10">
        <v>9</v>
      </c>
      <c r="D27" s="2" t="s">
        <v>23</v>
      </c>
      <c r="E27" s="2">
        <v>1</v>
      </c>
      <c r="F27" s="2">
        <v>0</v>
      </c>
      <c r="G27" s="2">
        <v>0</v>
      </c>
      <c r="H27" s="2">
        <v>0</v>
      </c>
      <c r="I27" s="2">
        <v>0</v>
      </c>
      <c r="J27" s="9">
        <f t="shared" si="1"/>
        <v>-3</v>
      </c>
      <c r="K27" s="7">
        <f t="shared" si="4"/>
        <v>0.5</v>
      </c>
      <c r="L27" s="10">
        <v>9</v>
      </c>
      <c r="M27" s="35">
        <v>1</v>
      </c>
      <c r="N27" s="35">
        <v>0</v>
      </c>
      <c r="O27" s="35">
        <v>1</v>
      </c>
      <c r="P27" s="35">
        <v>0</v>
      </c>
      <c r="Q27" s="35">
        <v>0</v>
      </c>
      <c r="R27" s="13"/>
      <c r="S27">
        <f t="shared" si="0"/>
        <v>1</v>
      </c>
      <c r="T27">
        <f t="shared" si="0"/>
        <v>1</v>
      </c>
      <c r="U27">
        <f t="shared" si="0"/>
        <v>0</v>
      </c>
      <c r="V27">
        <f t="shared" si="0"/>
        <v>1</v>
      </c>
      <c r="W27">
        <f t="shared" si="0"/>
        <v>1</v>
      </c>
    </row>
    <row r="28" spans="1:71">
      <c r="A28" s="1">
        <v>2</v>
      </c>
      <c r="B28" s="2" t="s">
        <v>12</v>
      </c>
      <c r="C28" s="10">
        <v>10</v>
      </c>
      <c r="D28" s="2" t="s">
        <v>24</v>
      </c>
      <c r="E28" s="2">
        <v>1</v>
      </c>
      <c r="F28" s="2">
        <v>0</v>
      </c>
      <c r="G28" s="2">
        <v>1</v>
      </c>
      <c r="H28" s="2">
        <v>1</v>
      </c>
      <c r="I28" s="2">
        <v>0</v>
      </c>
      <c r="J28" s="9">
        <f t="shared" si="1"/>
        <v>0</v>
      </c>
      <c r="K28" s="7">
        <f t="shared" si="4"/>
        <v>0.4</v>
      </c>
      <c r="L28" s="10">
        <v>10</v>
      </c>
      <c r="M28" s="36">
        <v>0</v>
      </c>
      <c r="N28" s="36">
        <v>1</v>
      </c>
      <c r="O28" s="36">
        <v>0</v>
      </c>
      <c r="P28" s="36">
        <v>1</v>
      </c>
      <c r="Q28" s="36">
        <v>0</v>
      </c>
      <c r="R28" s="13"/>
      <c r="S28">
        <f t="shared" si="0"/>
        <v>0</v>
      </c>
      <c r="T28">
        <f t="shared" si="0"/>
        <v>0</v>
      </c>
      <c r="U28">
        <f t="shared" si="0"/>
        <v>0</v>
      </c>
      <c r="V28">
        <f t="shared" si="0"/>
        <v>1</v>
      </c>
      <c r="W28">
        <f t="shared" si="0"/>
        <v>1</v>
      </c>
    </row>
    <row r="29" spans="1:71">
      <c r="A29" s="1">
        <v>2</v>
      </c>
      <c r="B29" s="2" t="s">
        <v>12</v>
      </c>
      <c r="C29" s="10">
        <v>11</v>
      </c>
      <c r="D29" s="2" t="s">
        <v>25</v>
      </c>
      <c r="E29" s="2">
        <v>1</v>
      </c>
      <c r="F29" s="2">
        <v>0</v>
      </c>
      <c r="G29" s="2">
        <v>0</v>
      </c>
      <c r="H29" s="2">
        <v>1</v>
      </c>
      <c r="I29" s="2">
        <v>0</v>
      </c>
      <c r="J29" s="9">
        <f t="shared" si="1"/>
        <v>0</v>
      </c>
      <c r="K29" s="7">
        <f t="shared" si="4"/>
        <v>0.6</v>
      </c>
      <c r="L29" s="10">
        <v>11</v>
      </c>
      <c r="M29" s="35">
        <v>1</v>
      </c>
      <c r="N29" s="35">
        <v>0</v>
      </c>
      <c r="O29" s="35">
        <v>1</v>
      </c>
      <c r="P29" s="35">
        <v>0</v>
      </c>
      <c r="Q29" s="35">
        <v>0</v>
      </c>
      <c r="R29" s="13"/>
      <c r="S29">
        <f t="shared" si="0"/>
        <v>1</v>
      </c>
      <c r="T29">
        <f t="shared" si="0"/>
        <v>1</v>
      </c>
      <c r="U29">
        <f t="shared" si="0"/>
        <v>0</v>
      </c>
      <c r="V29">
        <f t="shared" si="0"/>
        <v>0</v>
      </c>
      <c r="W29">
        <f t="shared" si="0"/>
        <v>1</v>
      </c>
    </row>
    <row r="30" spans="1:71">
      <c r="A30" s="1">
        <v>2</v>
      </c>
      <c r="B30" s="2" t="s">
        <v>12</v>
      </c>
      <c r="C30" s="10">
        <v>12</v>
      </c>
      <c r="D30" s="2" t="s">
        <v>26</v>
      </c>
      <c r="E30" s="2">
        <v>1</v>
      </c>
      <c r="F30" s="2">
        <v>0</v>
      </c>
      <c r="G30" s="2">
        <v>0</v>
      </c>
      <c r="H30" s="2">
        <v>0</v>
      </c>
      <c r="I30" s="2">
        <v>0</v>
      </c>
      <c r="J30" s="9">
        <f t="shared" si="1"/>
        <v>-3</v>
      </c>
      <c r="K30" s="7">
        <f t="shared" si="4"/>
        <v>0.5</v>
      </c>
      <c r="L30" s="10">
        <v>12</v>
      </c>
      <c r="M30" s="35">
        <v>1</v>
      </c>
      <c r="N30" s="35">
        <v>0</v>
      </c>
      <c r="O30" s="35">
        <v>1</v>
      </c>
      <c r="P30" s="35">
        <v>0</v>
      </c>
      <c r="Q30" s="35">
        <v>0</v>
      </c>
      <c r="R30" s="13"/>
      <c r="S30">
        <f t="shared" si="0"/>
        <v>1</v>
      </c>
      <c r="T30">
        <f t="shared" si="0"/>
        <v>1</v>
      </c>
      <c r="U30">
        <f t="shared" si="0"/>
        <v>0</v>
      </c>
      <c r="V30">
        <f t="shared" si="0"/>
        <v>1</v>
      </c>
      <c r="W30">
        <f t="shared" si="0"/>
        <v>1</v>
      </c>
    </row>
    <row r="31" spans="1:71">
      <c r="A31" s="1">
        <v>2</v>
      </c>
      <c r="B31" s="2" t="s">
        <v>12</v>
      </c>
      <c r="C31" s="10">
        <v>13</v>
      </c>
      <c r="D31" s="2" t="s">
        <v>27</v>
      </c>
      <c r="E31" s="2">
        <v>1</v>
      </c>
      <c r="F31" s="2">
        <v>1</v>
      </c>
      <c r="G31" s="2">
        <v>0</v>
      </c>
      <c r="H31" s="2">
        <v>1</v>
      </c>
      <c r="I31" s="2">
        <v>0</v>
      </c>
      <c r="J31" s="9">
        <f t="shared" si="1"/>
        <v>0</v>
      </c>
      <c r="K31" s="7">
        <f t="shared" si="4"/>
        <v>0.6</v>
      </c>
      <c r="L31" s="10">
        <v>13</v>
      </c>
      <c r="M31" s="35">
        <v>0</v>
      </c>
      <c r="N31" s="35">
        <v>1</v>
      </c>
      <c r="O31" s="35">
        <v>0</v>
      </c>
      <c r="P31" s="35">
        <v>1</v>
      </c>
      <c r="Q31" s="35">
        <v>1</v>
      </c>
      <c r="R31" s="13"/>
      <c r="S31">
        <f t="shared" si="0"/>
        <v>0</v>
      </c>
      <c r="T31">
        <f t="shared" si="0"/>
        <v>1</v>
      </c>
      <c r="U31">
        <f t="shared" si="0"/>
        <v>1</v>
      </c>
      <c r="V31">
        <f t="shared" si="0"/>
        <v>1</v>
      </c>
      <c r="W31">
        <f t="shared" si="0"/>
        <v>0</v>
      </c>
    </row>
    <row r="32" spans="1:71">
      <c r="A32" s="1">
        <v>2</v>
      </c>
      <c r="B32" s="2" t="s">
        <v>12</v>
      </c>
      <c r="C32" s="10">
        <v>14</v>
      </c>
      <c r="D32" s="2" t="s">
        <v>28</v>
      </c>
      <c r="E32" s="2">
        <v>1</v>
      </c>
      <c r="F32" s="2">
        <v>0</v>
      </c>
      <c r="G32" s="2">
        <v>0</v>
      </c>
      <c r="H32" s="2">
        <v>0</v>
      </c>
      <c r="I32" s="2">
        <v>0</v>
      </c>
      <c r="J32" s="9">
        <f t="shared" si="1"/>
        <v>-3</v>
      </c>
      <c r="K32" s="7">
        <f t="shared" si="4"/>
        <v>0.5</v>
      </c>
      <c r="L32" s="10">
        <v>14</v>
      </c>
      <c r="M32" s="35">
        <v>1</v>
      </c>
      <c r="N32" s="35">
        <v>0</v>
      </c>
      <c r="O32" s="35">
        <v>1</v>
      </c>
      <c r="P32" s="35">
        <v>0</v>
      </c>
      <c r="Q32" s="35">
        <v>0</v>
      </c>
      <c r="R32" s="13"/>
      <c r="S32">
        <f t="shared" si="0"/>
        <v>1</v>
      </c>
      <c r="T32">
        <f t="shared" si="0"/>
        <v>1</v>
      </c>
      <c r="U32">
        <f t="shared" si="0"/>
        <v>0</v>
      </c>
      <c r="V32">
        <f t="shared" si="0"/>
        <v>1</v>
      </c>
      <c r="W32">
        <f t="shared" si="0"/>
        <v>1</v>
      </c>
    </row>
    <row r="33" spans="1:23">
      <c r="A33" s="1">
        <v>2</v>
      </c>
      <c r="B33" s="2" t="s">
        <v>12</v>
      </c>
      <c r="C33" s="10">
        <v>15</v>
      </c>
      <c r="D33" s="2" t="s">
        <v>29</v>
      </c>
      <c r="E33" s="2">
        <v>1</v>
      </c>
      <c r="F33" s="2">
        <v>0</v>
      </c>
      <c r="G33" s="2">
        <v>0</v>
      </c>
      <c r="H33" s="2">
        <v>1</v>
      </c>
      <c r="I33" s="2">
        <v>0</v>
      </c>
      <c r="J33" s="9">
        <f t="shared" si="1"/>
        <v>0</v>
      </c>
      <c r="K33" s="7">
        <f t="shared" si="4"/>
        <v>0.6</v>
      </c>
      <c r="L33" s="10">
        <v>15</v>
      </c>
      <c r="M33" s="35">
        <v>0</v>
      </c>
      <c r="N33" s="35">
        <v>1</v>
      </c>
      <c r="O33" s="35">
        <v>0</v>
      </c>
      <c r="P33" s="35">
        <v>1</v>
      </c>
      <c r="Q33" s="35">
        <v>0</v>
      </c>
      <c r="R33" s="13"/>
      <c r="S33">
        <f t="shared" si="0"/>
        <v>0</v>
      </c>
      <c r="T33">
        <f t="shared" si="0"/>
        <v>0</v>
      </c>
      <c r="U33">
        <f t="shared" si="0"/>
        <v>1</v>
      </c>
      <c r="V33">
        <f t="shared" si="0"/>
        <v>1</v>
      </c>
      <c r="W33">
        <f t="shared" si="0"/>
        <v>1</v>
      </c>
    </row>
    <row r="34" spans="1:23">
      <c r="A34" s="1">
        <v>2</v>
      </c>
      <c r="B34" s="2" t="s">
        <v>30</v>
      </c>
      <c r="C34" s="10">
        <v>16</v>
      </c>
      <c r="D34" s="2" t="s">
        <v>31</v>
      </c>
      <c r="E34" s="2">
        <v>1</v>
      </c>
      <c r="F34" s="2">
        <v>1</v>
      </c>
      <c r="G34" s="2">
        <v>1</v>
      </c>
      <c r="H34" s="2">
        <v>0</v>
      </c>
      <c r="I34" s="2">
        <v>0</v>
      </c>
      <c r="J34" s="9">
        <f t="shared" si="1"/>
        <v>-1</v>
      </c>
      <c r="K34" s="7">
        <f t="shared" si="4"/>
        <v>0.75</v>
      </c>
      <c r="L34" s="10">
        <v>16</v>
      </c>
      <c r="M34" s="35">
        <v>1</v>
      </c>
      <c r="N34" s="35">
        <v>1</v>
      </c>
      <c r="O34" s="35">
        <v>1</v>
      </c>
      <c r="P34" s="35">
        <v>0</v>
      </c>
      <c r="Q34" s="35">
        <v>1</v>
      </c>
      <c r="R34" s="13"/>
      <c r="S34">
        <f t="shared" si="0"/>
        <v>1</v>
      </c>
      <c r="T34">
        <f t="shared" si="0"/>
        <v>1</v>
      </c>
      <c r="U34">
        <f t="shared" si="0"/>
        <v>1</v>
      </c>
      <c r="V34">
        <f t="shared" si="0"/>
        <v>1</v>
      </c>
      <c r="W34">
        <f t="shared" si="0"/>
        <v>0</v>
      </c>
    </row>
    <row r="35" spans="1:23">
      <c r="A35" s="1">
        <v>3</v>
      </c>
      <c r="B35" s="2" t="s">
        <v>12</v>
      </c>
      <c r="C35" s="10">
        <v>1</v>
      </c>
      <c r="D35" s="2" t="s">
        <v>32</v>
      </c>
      <c r="E35" s="2">
        <v>1</v>
      </c>
      <c r="F35" s="2">
        <v>0</v>
      </c>
      <c r="G35" s="2">
        <v>0</v>
      </c>
      <c r="H35" s="2">
        <v>0</v>
      </c>
      <c r="I35" s="2">
        <v>0</v>
      </c>
      <c r="J35" s="9">
        <f t="shared" si="1"/>
        <v>-3</v>
      </c>
      <c r="K35" s="7">
        <f t="shared" si="4"/>
        <v>0.5</v>
      </c>
      <c r="L35" s="10">
        <v>1</v>
      </c>
      <c r="M35" s="35">
        <v>1</v>
      </c>
      <c r="N35" s="35">
        <v>0</v>
      </c>
      <c r="O35" s="35">
        <v>1</v>
      </c>
      <c r="P35" s="35">
        <v>0</v>
      </c>
      <c r="Q35" s="35">
        <v>0</v>
      </c>
      <c r="R35" s="13"/>
      <c r="S35">
        <f t="shared" ref="S35:W66" si="9">IF(E35=M35, 1, 0)</f>
        <v>1</v>
      </c>
      <c r="T35">
        <f t="shared" si="9"/>
        <v>1</v>
      </c>
      <c r="U35">
        <f t="shared" si="9"/>
        <v>0</v>
      </c>
      <c r="V35">
        <f t="shared" si="9"/>
        <v>1</v>
      </c>
      <c r="W35">
        <f t="shared" si="9"/>
        <v>1</v>
      </c>
    </row>
    <row r="36" spans="1:23">
      <c r="A36" s="1">
        <v>3</v>
      </c>
      <c r="B36" s="2" t="s">
        <v>12</v>
      </c>
      <c r="C36" s="10">
        <v>2</v>
      </c>
      <c r="D36" s="2" t="s">
        <v>16</v>
      </c>
      <c r="E36" s="2">
        <v>1</v>
      </c>
      <c r="F36" s="2">
        <v>0</v>
      </c>
      <c r="G36" s="2">
        <v>1</v>
      </c>
      <c r="H36" s="2">
        <v>1</v>
      </c>
      <c r="I36" s="2">
        <v>0</v>
      </c>
      <c r="J36" s="9">
        <f t="shared" si="1"/>
        <v>0</v>
      </c>
      <c r="K36" s="7">
        <f t="shared" si="4"/>
        <v>0.8</v>
      </c>
      <c r="L36" s="10">
        <v>2</v>
      </c>
      <c r="M36" s="36">
        <v>1</v>
      </c>
      <c r="N36" s="36">
        <v>1</v>
      </c>
      <c r="O36" s="36">
        <v>1</v>
      </c>
      <c r="P36" s="36">
        <v>1</v>
      </c>
      <c r="Q36" s="36">
        <v>0</v>
      </c>
      <c r="R36" s="13"/>
      <c r="S36">
        <f t="shared" si="9"/>
        <v>1</v>
      </c>
      <c r="T36">
        <f t="shared" si="9"/>
        <v>0</v>
      </c>
      <c r="U36">
        <f t="shared" si="9"/>
        <v>1</v>
      </c>
      <c r="V36">
        <f t="shared" si="9"/>
        <v>1</v>
      </c>
      <c r="W36">
        <f t="shared" si="9"/>
        <v>1</v>
      </c>
    </row>
    <row r="37" spans="1:23">
      <c r="A37" s="1">
        <v>3</v>
      </c>
      <c r="B37" s="2" t="s">
        <v>12</v>
      </c>
      <c r="C37" s="10">
        <v>3</v>
      </c>
      <c r="D37" s="2" t="s">
        <v>17</v>
      </c>
      <c r="E37" s="2">
        <v>1</v>
      </c>
      <c r="F37" s="2">
        <v>0</v>
      </c>
      <c r="G37" s="2">
        <v>0</v>
      </c>
      <c r="H37" s="2">
        <v>0</v>
      </c>
      <c r="I37" s="2">
        <v>0</v>
      </c>
      <c r="J37" s="9">
        <f t="shared" si="1"/>
        <v>-3</v>
      </c>
      <c r="K37" s="7">
        <f t="shared" si="4"/>
        <v>0.5</v>
      </c>
      <c r="L37" s="10">
        <v>3</v>
      </c>
      <c r="M37" s="35">
        <v>1</v>
      </c>
      <c r="N37" s="35">
        <v>0</v>
      </c>
      <c r="O37" s="35">
        <v>1</v>
      </c>
      <c r="P37" s="35">
        <v>0</v>
      </c>
      <c r="Q37" s="35">
        <v>0</v>
      </c>
      <c r="R37" s="13"/>
      <c r="S37">
        <f t="shared" si="9"/>
        <v>1</v>
      </c>
      <c r="T37">
        <f t="shared" si="9"/>
        <v>1</v>
      </c>
      <c r="U37">
        <f t="shared" si="9"/>
        <v>0</v>
      </c>
      <c r="V37">
        <f t="shared" si="9"/>
        <v>1</v>
      </c>
      <c r="W37">
        <f t="shared" si="9"/>
        <v>1</v>
      </c>
    </row>
    <row r="38" spans="1:23">
      <c r="A38" s="1">
        <v>3</v>
      </c>
      <c r="B38" s="2" t="s">
        <v>12</v>
      </c>
      <c r="C38" s="10">
        <v>4</v>
      </c>
      <c r="D38" s="2" t="s">
        <v>18</v>
      </c>
      <c r="E38" s="2">
        <v>1</v>
      </c>
      <c r="F38" s="2">
        <v>1</v>
      </c>
      <c r="G38" s="2">
        <v>0</v>
      </c>
      <c r="H38" s="2">
        <v>1</v>
      </c>
      <c r="I38" s="2">
        <v>0</v>
      </c>
      <c r="J38" s="9">
        <f t="shared" si="1"/>
        <v>0</v>
      </c>
      <c r="K38" s="7">
        <f t="shared" si="4"/>
        <v>0.6</v>
      </c>
      <c r="L38" s="10">
        <v>4</v>
      </c>
      <c r="M38" s="36">
        <v>0</v>
      </c>
      <c r="N38" s="36">
        <v>1</v>
      </c>
      <c r="O38" s="36">
        <v>0</v>
      </c>
      <c r="P38" s="36">
        <v>1</v>
      </c>
      <c r="Q38" s="36">
        <v>1</v>
      </c>
      <c r="R38" s="13"/>
      <c r="S38">
        <f t="shared" si="9"/>
        <v>0</v>
      </c>
      <c r="T38">
        <f t="shared" si="9"/>
        <v>1</v>
      </c>
      <c r="U38">
        <f t="shared" si="9"/>
        <v>1</v>
      </c>
      <c r="V38">
        <f t="shared" si="9"/>
        <v>1</v>
      </c>
      <c r="W38">
        <f t="shared" si="9"/>
        <v>0</v>
      </c>
    </row>
    <row r="39" spans="1:23">
      <c r="A39" s="1">
        <v>3</v>
      </c>
      <c r="B39" s="2" t="s">
        <v>12</v>
      </c>
      <c r="C39" s="10">
        <v>5</v>
      </c>
      <c r="D39" s="2" t="s">
        <v>19</v>
      </c>
      <c r="E39" s="2">
        <v>1</v>
      </c>
      <c r="F39" s="2">
        <v>0</v>
      </c>
      <c r="G39" s="2">
        <v>0</v>
      </c>
      <c r="H39" s="2">
        <v>0</v>
      </c>
      <c r="I39" s="2">
        <v>0</v>
      </c>
      <c r="J39" s="9">
        <f t="shared" si="1"/>
        <v>-3</v>
      </c>
      <c r="K39" s="7">
        <f t="shared" si="4"/>
        <v>0.5</v>
      </c>
      <c r="L39" s="10">
        <v>5</v>
      </c>
      <c r="M39" s="35">
        <v>1</v>
      </c>
      <c r="N39" s="35">
        <v>0</v>
      </c>
      <c r="O39" s="35">
        <v>1</v>
      </c>
      <c r="P39" s="35">
        <v>0</v>
      </c>
      <c r="Q39" s="35">
        <v>0</v>
      </c>
      <c r="R39" s="13"/>
      <c r="S39">
        <f t="shared" si="9"/>
        <v>1</v>
      </c>
      <c r="T39">
        <f t="shared" si="9"/>
        <v>1</v>
      </c>
      <c r="U39">
        <f t="shared" si="9"/>
        <v>0</v>
      </c>
      <c r="V39">
        <f t="shared" si="9"/>
        <v>1</v>
      </c>
      <c r="W39">
        <f t="shared" si="9"/>
        <v>1</v>
      </c>
    </row>
    <row r="40" spans="1:23">
      <c r="A40" s="1">
        <v>3</v>
      </c>
      <c r="B40" s="2" t="s">
        <v>12</v>
      </c>
      <c r="C40" s="10">
        <v>6</v>
      </c>
      <c r="D40" s="2" t="s">
        <v>20</v>
      </c>
      <c r="E40" s="2">
        <v>1</v>
      </c>
      <c r="F40" s="2">
        <v>0</v>
      </c>
      <c r="G40" s="2">
        <v>0</v>
      </c>
      <c r="H40" s="2">
        <v>1</v>
      </c>
      <c r="I40" s="2">
        <v>0</v>
      </c>
      <c r="J40" s="9">
        <f t="shared" si="1"/>
        <v>0</v>
      </c>
      <c r="K40" s="7">
        <f t="shared" si="4"/>
        <v>0.8</v>
      </c>
      <c r="L40" s="10">
        <v>6</v>
      </c>
      <c r="M40" s="36">
        <v>0</v>
      </c>
      <c r="N40" s="36">
        <v>0</v>
      </c>
      <c r="O40" s="36">
        <v>0</v>
      </c>
      <c r="P40" s="36">
        <v>1</v>
      </c>
      <c r="Q40" s="36">
        <v>0</v>
      </c>
      <c r="R40" s="13"/>
      <c r="S40">
        <f t="shared" si="9"/>
        <v>0</v>
      </c>
      <c r="T40">
        <f t="shared" si="9"/>
        <v>1</v>
      </c>
      <c r="U40">
        <f t="shared" si="9"/>
        <v>1</v>
      </c>
      <c r="V40">
        <f t="shared" si="9"/>
        <v>1</v>
      </c>
      <c r="W40">
        <f t="shared" si="9"/>
        <v>1</v>
      </c>
    </row>
    <row r="41" spans="1:23">
      <c r="A41" s="1">
        <v>3</v>
      </c>
      <c r="B41" s="2" t="s">
        <v>12</v>
      </c>
      <c r="C41" s="10">
        <v>7</v>
      </c>
      <c r="D41" s="2" t="s">
        <v>21</v>
      </c>
      <c r="E41" s="2">
        <v>1</v>
      </c>
      <c r="F41" s="2">
        <v>0</v>
      </c>
      <c r="G41" s="2">
        <v>0</v>
      </c>
      <c r="H41" s="2">
        <v>0</v>
      </c>
      <c r="I41" s="2">
        <v>0</v>
      </c>
      <c r="J41" s="9">
        <f t="shared" si="1"/>
        <v>-3</v>
      </c>
      <c r="K41" s="7">
        <f t="shared" si="4"/>
        <v>0.5</v>
      </c>
      <c r="L41" s="10">
        <v>7</v>
      </c>
      <c r="M41" s="35">
        <v>1</v>
      </c>
      <c r="N41" s="35">
        <v>0</v>
      </c>
      <c r="O41" s="35">
        <v>1</v>
      </c>
      <c r="P41" s="35">
        <v>0</v>
      </c>
      <c r="Q41" s="35">
        <v>0</v>
      </c>
      <c r="R41" s="13"/>
      <c r="S41">
        <f t="shared" si="9"/>
        <v>1</v>
      </c>
      <c r="T41">
        <f t="shared" si="9"/>
        <v>1</v>
      </c>
      <c r="U41">
        <f t="shared" si="9"/>
        <v>0</v>
      </c>
      <c r="V41">
        <f t="shared" si="9"/>
        <v>1</v>
      </c>
      <c r="W41">
        <f t="shared" si="9"/>
        <v>1</v>
      </c>
    </row>
    <row r="42" spans="1:23">
      <c r="A42" s="1">
        <v>3</v>
      </c>
      <c r="B42" s="2" t="s">
        <v>12</v>
      </c>
      <c r="C42" s="10">
        <v>8</v>
      </c>
      <c r="D42" s="2" t="s">
        <v>22</v>
      </c>
      <c r="E42" s="2">
        <v>1</v>
      </c>
      <c r="F42" s="2">
        <v>0</v>
      </c>
      <c r="G42" s="2">
        <v>0</v>
      </c>
      <c r="H42" s="2">
        <v>1</v>
      </c>
      <c r="I42" s="2">
        <v>0</v>
      </c>
      <c r="J42" s="9">
        <f t="shared" si="1"/>
        <v>0</v>
      </c>
      <c r="K42" s="7">
        <f t="shared" si="4"/>
        <v>1</v>
      </c>
      <c r="L42" s="10">
        <v>8</v>
      </c>
      <c r="M42" s="36">
        <v>1</v>
      </c>
      <c r="N42" s="36">
        <v>0</v>
      </c>
      <c r="O42" s="36">
        <v>0</v>
      </c>
      <c r="P42" s="36">
        <v>1</v>
      </c>
      <c r="Q42" s="36">
        <v>0</v>
      </c>
      <c r="R42" s="13"/>
      <c r="S42">
        <f t="shared" si="9"/>
        <v>1</v>
      </c>
      <c r="T42">
        <f t="shared" si="9"/>
        <v>1</v>
      </c>
      <c r="U42">
        <f t="shared" si="9"/>
        <v>1</v>
      </c>
      <c r="V42">
        <f t="shared" si="9"/>
        <v>1</v>
      </c>
      <c r="W42">
        <f t="shared" si="9"/>
        <v>1</v>
      </c>
    </row>
    <row r="43" spans="1:23">
      <c r="A43" s="1">
        <v>3</v>
      </c>
      <c r="B43" s="2" t="s">
        <v>12</v>
      </c>
      <c r="C43" s="10">
        <v>9</v>
      </c>
      <c r="D43" s="2" t="s">
        <v>23</v>
      </c>
      <c r="E43" s="2">
        <v>1</v>
      </c>
      <c r="F43" s="2">
        <v>0</v>
      </c>
      <c r="G43" s="2">
        <v>0</v>
      </c>
      <c r="H43" s="2">
        <v>0</v>
      </c>
      <c r="I43" s="2">
        <v>0</v>
      </c>
      <c r="J43" s="9">
        <f t="shared" si="1"/>
        <v>-3</v>
      </c>
      <c r="K43" s="7">
        <f t="shared" si="4"/>
        <v>0.5</v>
      </c>
      <c r="L43" s="10">
        <v>9</v>
      </c>
      <c r="M43" s="35">
        <v>1</v>
      </c>
      <c r="N43" s="35">
        <v>0</v>
      </c>
      <c r="O43" s="35">
        <v>1</v>
      </c>
      <c r="P43" s="35">
        <v>0</v>
      </c>
      <c r="Q43" s="35">
        <v>0</v>
      </c>
      <c r="R43" s="13"/>
      <c r="S43">
        <f t="shared" si="9"/>
        <v>1</v>
      </c>
      <c r="T43">
        <f t="shared" si="9"/>
        <v>1</v>
      </c>
      <c r="U43">
        <f t="shared" si="9"/>
        <v>0</v>
      </c>
      <c r="V43">
        <f t="shared" si="9"/>
        <v>1</v>
      </c>
      <c r="W43">
        <f t="shared" si="9"/>
        <v>1</v>
      </c>
    </row>
    <row r="44" spans="1:23">
      <c r="A44" s="1">
        <v>3</v>
      </c>
      <c r="B44" s="2" t="s">
        <v>12</v>
      </c>
      <c r="C44" s="10">
        <v>10</v>
      </c>
      <c r="D44" s="2" t="s">
        <v>24</v>
      </c>
      <c r="E44" s="2">
        <v>1</v>
      </c>
      <c r="F44" s="2">
        <v>0</v>
      </c>
      <c r="G44" s="2">
        <v>0</v>
      </c>
      <c r="H44" s="2">
        <v>1</v>
      </c>
      <c r="I44" s="2">
        <v>0</v>
      </c>
      <c r="J44" s="9">
        <f t="shared" si="1"/>
        <v>0</v>
      </c>
      <c r="K44" s="7">
        <f t="shared" si="4"/>
        <v>0.6</v>
      </c>
      <c r="L44" s="10">
        <v>10</v>
      </c>
      <c r="M44" s="36">
        <v>0</v>
      </c>
      <c r="N44" s="36">
        <v>1</v>
      </c>
      <c r="O44" s="36">
        <v>0</v>
      </c>
      <c r="P44" s="36">
        <v>1</v>
      </c>
      <c r="Q44" s="36">
        <v>0</v>
      </c>
      <c r="R44" s="13"/>
      <c r="S44">
        <f t="shared" si="9"/>
        <v>0</v>
      </c>
      <c r="T44">
        <f t="shared" si="9"/>
        <v>0</v>
      </c>
      <c r="U44">
        <f t="shared" si="9"/>
        <v>1</v>
      </c>
      <c r="V44">
        <f t="shared" si="9"/>
        <v>1</v>
      </c>
      <c r="W44">
        <f t="shared" si="9"/>
        <v>1</v>
      </c>
    </row>
    <row r="45" spans="1:23">
      <c r="A45" s="1">
        <v>3</v>
      </c>
      <c r="B45" s="2" t="s">
        <v>12</v>
      </c>
      <c r="C45" s="10">
        <v>11</v>
      </c>
      <c r="D45" s="2" t="s">
        <v>25</v>
      </c>
      <c r="E45" s="2">
        <v>1</v>
      </c>
      <c r="F45" s="2">
        <v>0</v>
      </c>
      <c r="G45" s="2">
        <v>0</v>
      </c>
      <c r="H45" s="2">
        <v>1</v>
      </c>
      <c r="I45" s="2">
        <v>0</v>
      </c>
      <c r="J45" s="9">
        <f t="shared" si="1"/>
        <v>0</v>
      </c>
      <c r="K45" s="7">
        <f t="shared" si="4"/>
        <v>0.6</v>
      </c>
      <c r="L45" s="10">
        <v>11</v>
      </c>
      <c r="M45" s="35">
        <v>1</v>
      </c>
      <c r="N45" s="35">
        <v>0</v>
      </c>
      <c r="O45" s="35">
        <v>1</v>
      </c>
      <c r="P45" s="35">
        <v>0</v>
      </c>
      <c r="Q45" s="35">
        <v>0</v>
      </c>
      <c r="R45" s="13"/>
      <c r="S45">
        <f t="shared" si="9"/>
        <v>1</v>
      </c>
      <c r="T45">
        <f t="shared" si="9"/>
        <v>1</v>
      </c>
      <c r="U45">
        <f t="shared" si="9"/>
        <v>0</v>
      </c>
      <c r="V45">
        <f t="shared" si="9"/>
        <v>0</v>
      </c>
      <c r="W45">
        <f t="shared" si="9"/>
        <v>1</v>
      </c>
    </row>
    <row r="46" spans="1:23">
      <c r="A46" s="1">
        <v>3</v>
      </c>
      <c r="B46" s="2" t="s">
        <v>12</v>
      </c>
      <c r="C46" s="10">
        <v>12</v>
      </c>
      <c r="D46" s="2" t="s">
        <v>26</v>
      </c>
      <c r="E46" s="2">
        <v>1</v>
      </c>
      <c r="F46" s="2">
        <v>0</v>
      </c>
      <c r="G46" s="2">
        <v>0</v>
      </c>
      <c r="H46" s="2">
        <v>0</v>
      </c>
      <c r="I46" s="2">
        <v>0</v>
      </c>
      <c r="J46" s="9">
        <f t="shared" si="1"/>
        <v>-3</v>
      </c>
      <c r="K46" s="7">
        <f t="shared" si="4"/>
        <v>0.5</v>
      </c>
      <c r="L46" s="10">
        <v>12</v>
      </c>
      <c r="M46" s="35">
        <v>1</v>
      </c>
      <c r="N46" s="35">
        <v>0</v>
      </c>
      <c r="O46" s="35">
        <v>1</v>
      </c>
      <c r="P46" s="35">
        <v>0</v>
      </c>
      <c r="Q46" s="35">
        <v>0</v>
      </c>
      <c r="R46" s="13"/>
      <c r="S46">
        <f t="shared" si="9"/>
        <v>1</v>
      </c>
      <c r="T46">
        <f t="shared" si="9"/>
        <v>1</v>
      </c>
      <c r="U46">
        <f t="shared" si="9"/>
        <v>0</v>
      </c>
      <c r="V46">
        <f t="shared" si="9"/>
        <v>1</v>
      </c>
      <c r="W46">
        <f t="shared" si="9"/>
        <v>1</v>
      </c>
    </row>
    <row r="47" spans="1:23">
      <c r="A47" s="1">
        <v>3</v>
      </c>
      <c r="B47" s="2" t="s">
        <v>12</v>
      </c>
      <c r="C47" s="10">
        <v>13</v>
      </c>
      <c r="D47" s="2" t="s">
        <v>27</v>
      </c>
      <c r="E47" s="2">
        <v>1</v>
      </c>
      <c r="F47" s="2">
        <v>0</v>
      </c>
      <c r="G47" s="2">
        <v>0</v>
      </c>
      <c r="H47" s="2">
        <v>1</v>
      </c>
      <c r="I47" s="2">
        <v>1</v>
      </c>
      <c r="J47" s="9">
        <f t="shared" si="1"/>
        <v>0</v>
      </c>
      <c r="K47" s="7">
        <f t="shared" si="4"/>
        <v>0.6</v>
      </c>
      <c r="L47" s="10">
        <v>13</v>
      </c>
      <c r="M47" s="35">
        <v>0</v>
      </c>
      <c r="N47" s="35">
        <v>1</v>
      </c>
      <c r="O47" s="35">
        <v>0</v>
      </c>
      <c r="P47" s="35">
        <v>1</v>
      </c>
      <c r="Q47" s="35">
        <v>1</v>
      </c>
      <c r="R47" s="13"/>
      <c r="S47">
        <f t="shared" si="9"/>
        <v>0</v>
      </c>
      <c r="T47">
        <f t="shared" si="9"/>
        <v>0</v>
      </c>
      <c r="U47">
        <f t="shared" si="9"/>
        <v>1</v>
      </c>
      <c r="V47">
        <f t="shared" si="9"/>
        <v>1</v>
      </c>
      <c r="W47">
        <f t="shared" si="9"/>
        <v>1</v>
      </c>
    </row>
    <row r="48" spans="1:23">
      <c r="A48" s="1">
        <v>3</v>
      </c>
      <c r="B48" s="2" t="s">
        <v>12</v>
      </c>
      <c r="C48" s="10">
        <v>14</v>
      </c>
      <c r="D48" s="2" t="s">
        <v>28</v>
      </c>
      <c r="E48" s="2">
        <v>1</v>
      </c>
      <c r="F48" s="2">
        <v>0</v>
      </c>
      <c r="G48" s="2">
        <v>0</v>
      </c>
      <c r="H48" s="2">
        <v>0</v>
      </c>
      <c r="I48" s="2">
        <v>0</v>
      </c>
      <c r="J48" s="9">
        <f t="shared" si="1"/>
        <v>-3</v>
      </c>
      <c r="K48" s="7">
        <f t="shared" si="4"/>
        <v>0.5</v>
      </c>
      <c r="L48" s="10">
        <v>14</v>
      </c>
      <c r="M48" s="35">
        <v>1</v>
      </c>
      <c r="N48" s="35">
        <v>0</v>
      </c>
      <c r="O48" s="35">
        <v>1</v>
      </c>
      <c r="P48" s="35">
        <v>0</v>
      </c>
      <c r="Q48" s="35">
        <v>0</v>
      </c>
      <c r="R48" s="13"/>
      <c r="S48">
        <f t="shared" si="9"/>
        <v>1</v>
      </c>
      <c r="T48">
        <f t="shared" si="9"/>
        <v>1</v>
      </c>
      <c r="U48">
        <f t="shared" si="9"/>
        <v>0</v>
      </c>
      <c r="V48">
        <f t="shared" si="9"/>
        <v>1</v>
      </c>
      <c r="W48">
        <f t="shared" si="9"/>
        <v>1</v>
      </c>
    </row>
    <row r="49" spans="1:23">
      <c r="A49" s="1">
        <v>3</v>
      </c>
      <c r="B49" s="2" t="s">
        <v>12</v>
      </c>
      <c r="C49" s="10">
        <v>15</v>
      </c>
      <c r="D49" s="2" t="s">
        <v>29</v>
      </c>
      <c r="E49" s="2">
        <v>1</v>
      </c>
      <c r="F49" s="2">
        <v>0</v>
      </c>
      <c r="G49" s="2">
        <v>0</v>
      </c>
      <c r="H49" s="2">
        <v>1</v>
      </c>
      <c r="I49" s="2">
        <v>0</v>
      </c>
      <c r="J49" s="9">
        <f t="shared" si="1"/>
        <v>0</v>
      </c>
      <c r="K49" s="7">
        <f t="shared" si="4"/>
        <v>0.6</v>
      </c>
      <c r="L49" s="10">
        <v>15</v>
      </c>
      <c r="M49" s="35">
        <v>0</v>
      </c>
      <c r="N49" s="35">
        <v>1</v>
      </c>
      <c r="O49" s="35">
        <v>0</v>
      </c>
      <c r="P49" s="35">
        <v>1</v>
      </c>
      <c r="Q49" s="35">
        <v>0</v>
      </c>
      <c r="R49" s="13"/>
      <c r="S49">
        <f t="shared" si="9"/>
        <v>0</v>
      </c>
      <c r="T49">
        <f t="shared" si="9"/>
        <v>0</v>
      </c>
      <c r="U49">
        <f t="shared" si="9"/>
        <v>1</v>
      </c>
      <c r="V49">
        <f t="shared" si="9"/>
        <v>1</v>
      </c>
      <c r="W49">
        <f t="shared" si="9"/>
        <v>1</v>
      </c>
    </row>
    <row r="50" spans="1:23">
      <c r="A50" s="1">
        <v>3</v>
      </c>
      <c r="B50" s="2" t="s">
        <v>30</v>
      </c>
      <c r="C50" s="10">
        <v>16</v>
      </c>
      <c r="D50" s="2" t="s">
        <v>31</v>
      </c>
      <c r="E50" s="2">
        <v>1</v>
      </c>
      <c r="F50" s="2">
        <v>0</v>
      </c>
      <c r="G50" s="2">
        <v>0</v>
      </c>
      <c r="H50" s="2">
        <v>0</v>
      </c>
      <c r="I50" s="2">
        <v>1</v>
      </c>
      <c r="J50" s="9">
        <f t="shared" si="1"/>
        <v>-1</v>
      </c>
      <c r="K50" s="7">
        <f t="shared" si="4"/>
        <v>0.5</v>
      </c>
      <c r="L50" s="10">
        <v>16</v>
      </c>
      <c r="M50" s="35">
        <v>1</v>
      </c>
      <c r="N50" s="35">
        <v>1</v>
      </c>
      <c r="O50" s="35">
        <v>1</v>
      </c>
      <c r="P50" s="35">
        <v>0</v>
      </c>
      <c r="Q50" s="35">
        <v>1</v>
      </c>
      <c r="R50" s="13"/>
      <c r="S50">
        <f t="shared" si="9"/>
        <v>1</v>
      </c>
      <c r="T50">
        <f t="shared" si="9"/>
        <v>0</v>
      </c>
      <c r="U50">
        <f t="shared" si="9"/>
        <v>0</v>
      </c>
      <c r="V50">
        <f t="shared" si="9"/>
        <v>1</v>
      </c>
      <c r="W50">
        <f t="shared" si="9"/>
        <v>1</v>
      </c>
    </row>
    <row r="51" spans="1:23">
      <c r="A51" s="1">
        <v>4</v>
      </c>
      <c r="B51" s="2" t="s">
        <v>12</v>
      </c>
      <c r="C51" s="10">
        <v>1</v>
      </c>
      <c r="D51" s="2" t="s">
        <v>32</v>
      </c>
      <c r="E51" s="2">
        <v>1</v>
      </c>
      <c r="F51" s="2">
        <v>0</v>
      </c>
      <c r="G51" s="2">
        <v>1</v>
      </c>
      <c r="H51" s="2">
        <v>0</v>
      </c>
      <c r="I51" s="2">
        <v>0</v>
      </c>
      <c r="J51" s="9">
        <f t="shared" si="1"/>
        <v>-3</v>
      </c>
      <c r="K51" s="7">
        <f t="shared" si="4"/>
        <v>1</v>
      </c>
      <c r="L51" s="10">
        <v>1</v>
      </c>
      <c r="M51" s="35">
        <v>1</v>
      </c>
      <c r="N51" s="35">
        <v>0</v>
      </c>
      <c r="O51" s="35">
        <v>1</v>
      </c>
      <c r="P51" s="35">
        <v>0</v>
      </c>
      <c r="Q51" s="35">
        <v>0</v>
      </c>
      <c r="R51" s="13"/>
      <c r="S51">
        <f t="shared" si="9"/>
        <v>1</v>
      </c>
      <c r="T51">
        <f t="shared" si="9"/>
        <v>1</v>
      </c>
      <c r="U51">
        <f t="shared" si="9"/>
        <v>1</v>
      </c>
      <c r="V51">
        <f t="shared" si="9"/>
        <v>1</v>
      </c>
      <c r="W51">
        <f t="shared" si="9"/>
        <v>1</v>
      </c>
    </row>
    <row r="52" spans="1:23">
      <c r="A52" s="1">
        <v>4</v>
      </c>
      <c r="B52" s="2" t="s">
        <v>12</v>
      </c>
      <c r="C52" s="10">
        <v>2</v>
      </c>
      <c r="D52" s="2" t="s">
        <v>16</v>
      </c>
      <c r="E52" s="2">
        <v>0</v>
      </c>
      <c r="F52" s="2">
        <v>0</v>
      </c>
      <c r="G52" s="2">
        <v>0</v>
      </c>
      <c r="H52" s="2">
        <v>1</v>
      </c>
      <c r="I52" s="2">
        <v>0</v>
      </c>
      <c r="J52" s="9">
        <f t="shared" si="1"/>
        <v>0</v>
      </c>
      <c r="K52" s="7">
        <f t="shared" si="4"/>
        <v>0.4</v>
      </c>
      <c r="L52" s="10">
        <v>2</v>
      </c>
      <c r="M52" s="36">
        <v>1</v>
      </c>
      <c r="N52" s="36">
        <v>1</v>
      </c>
      <c r="O52" s="36">
        <v>1</v>
      </c>
      <c r="P52" s="36">
        <v>1</v>
      </c>
      <c r="Q52" s="36">
        <v>0</v>
      </c>
      <c r="R52" s="13"/>
      <c r="S52">
        <f t="shared" si="9"/>
        <v>0</v>
      </c>
      <c r="T52">
        <f t="shared" si="9"/>
        <v>0</v>
      </c>
      <c r="U52">
        <f t="shared" si="9"/>
        <v>0</v>
      </c>
      <c r="V52">
        <f t="shared" si="9"/>
        <v>1</v>
      </c>
      <c r="W52">
        <f t="shared" si="9"/>
        <v>1</v>
      </c>
    </row>
    <row r="53" spans="1:23">
      <c r="A53" s="1">
        <v>4</v>
      </c>
      <c r="B53" s="2" t="s">
        <v>12</v>
      </c>
      <c r="C53" s="10">
        <v>3</v>
      </c>
      <c r="D53" s="2" t="s">
        <v>17</v>
      </c>
      <c r="E53" s="2">
        <v>1</v>
      </c>
      <c r="F53" s="2">
        <v>0</v>
      </c>
      <c r="G53" s="2">
        <v>1</v>
      </c>
      <c r="H53" s="2">
        <v>0</v>
      </c>
      <c r="I53" s="2">
        <v>0</v>
      </c>
      <c r="J53" s="9">
        <f t="shared" si="1"/>
        <v>-3</v>
      </c>
      <c r="K53" s="7">
        <f t="shared" si="4"/>
        <v>1</v>
      </c>
      <c r="L53" s="10">
        <v>3</v>
      </c>
      <c r="M53" s="35">
        <v>1</v>
      </c>
      <c r="N53" s="35">
        <v>0</v>
      </c>
      <c r="O53" s="35">
        <v>1</v>
      </c>
      <c r="P53" s="35">
        <v>0</v>
      </c>
      <c r="Q53" s="35">
        <v>0</v>
      </c>
      <c r="R53" s="13"/>
      <c r="S53">
        <f t="shared" si="9"/>
        <v>1</v>
      </c>
      <c r="T53">
        <f t="shared" si="9"/>
        <v>1</v>
      </c>
      <c r="U53">
        <f t="shared" si="9"/>
        <v>1</v>
      </c>
      <c r="V53">
        <f t="shared" si="9"/>
        <v>1</v>
      </c>
      <c r="W53">
        <f t="shared" si="9"/>
        <v>1</v>
      </c>
    </row>
    <row r="54" spans="1:23">
      <c r="A54" s="1">
        <v>4</v>
      </c>
      <c r="B54" s="2" t="s">
        <v>12</v>
      </c>
      <c r="C54" s="10">
        <v>4</v>
      </c>
      <c r="D54" s="2" t="s">
        <v>18</v>
      </c>
      <c r="E54" s="2">
        <v>0</v>
      </c>
      <c r="F54" s="2">
        <v>0</v>
      </c>
      <c r="G54" s="2">
        <v>1</v>
      </c>
      <c r="H54" s="2">
        <v>1</v>
      </c>
      <c r="I54" s="2">
        <v>0</v>
      </c>
      <c r="J54" s="9">
        <f t="shared" si="1"/>
        <v>0</v>
      </c>
      <c r="K54" s="7">
        <f t="shared" si="4"/>
        <v>0.4</v>
      </c>
      <c r="L54" s="10">
        <v>4</v>
      </c>
      <c r="M54" s="36">
        <v>0</v>
      </c>
      <c r="N54" s="36">
        <v>1</v>
      </c>
      <c r="O54" s="36">
        <v>0</v>
      </c>
      <c r="P54" s="36">
        <v>1</v>
      </c>
      <c r="Q54" s="36">
        <v>1</v>
      </c>
      <c r="R54" s="13"/>
      <c r="S54">
        <f t="shared" si="9"/>
        <v>1</v>
      </c>
      <c r="T54">
        <f t="shared" si="9"/>
        <v>0</v>
      </c>
      <c r="U54">
        <f t="shared" si="9"/>
        <v>0</v>
      </c>
      <c r="V54">
        <f t="shared" si="9"/>
        <v>1</v>
      </c>
      <c r="W54">
        <f t="shared" si="9"/>
        <v>0</v>
      </c>
    </row>
    <row r="55" spans="1:23">
      <c r="A55" s="1">
        <v>4</v>
      </c>
      <c r="B55" s="2" t="s">
        <v>12</v>
      </c>
      <c r="C55" s="10">
        <v>5</v>
      </c>
      <c r="D55" s="2" t="s">
        <v>19</v>
      </c>
      <c r="E55" s="2">
        <v>1</v>
      </c>
      <c r="F55" s="2">
        <v>0</v>
      </c>
      <c r="G55" s="2">
        <v>1</v>
      </c>
      <c r="H55" s="2">
        <v>0</v>
      </c>
      <c r="I55" s="2">
        <v>0</v>
      </c>
      <c r="J55" s="9">
        <f t="shared" si="1"/>
        <v>-3</v>
      </c>
      <c r="K55" s="7">
        <f t="shared" si="4"/>
        <v>1</v>
      </c>
      <c r="L55" s="10">
        <v>5</v>
      </c>
      <c r="M55" s="35">
        <v>1</v>
      </c>
      <c r="N55" s="35">
        <v>0</v>
      </c>
      <c r="O55" s="35">
        <v>1</v>
      </c>
      <c r="P55" s="35">
        <v>0</v>
      </c>
      <c r="Q55" s="35">
        <v>0</v>
      </c>
      <c r="R55" s="13"/>
      <c r="S55">
        <f t="shared" si="9"/>
        <v>1</v>
      </c>
      <c r="T55">
        <f t="shared" si="9"/>
        <v>1</v>
      </c>
      <c r="U55">
        <f t="shared" si="9"/>
        <v>1</v>
      </c>
      <c r="V55">
        <f t="shared" si="9"/>
        <v>1</v>
      </c>
      <c r="W55">
        <f t="shared" si="9"/>
        <v>1</v>
      </c>
    </row>
    <row r="56" spans="1:23">
      <c r="A56" s="1">
        <v>4</v>
      </c>
      <c r="B56" s="2" t="s">
        <v>12</v>
      </c>
      <c r="C56" s="10">
        <v>6</v>
      </c>
      <c r="D56" s="2" t="s">
        <v>20</v>
      </c>
      <c r="E56" s="2">
        <v>0</v>
      </c>
      <c r="F56" s="2">
        <v>0</v>
      </c>
      <c r="G56" s="2">
        <v>0</v>
      </c>
      <c r="H56" s="2">
        <v>1</v>
      </c>
      <c r="I56" s="2">
        <v>0</v>
      </c>
      <c r="J56" s="9">
        <f t="shared" si="1"/>
        <v>0</v>
      </c>
      <c r="K56" s="7">
        <f t="shared" si="4"/>
        <v>1</v>
      </c>
      <c r="L56" s="10">
        <v>6</v>
      </c>
      <c r="M56" s="36">
        <v>0</v>
      </c>
      <c r="N56" s="36">
        <v>0</v>
      </c>
      <c r="O56" s="36">
        <v>0</v>
      </c>
      <c r="P56" s="36">
        <v>1</v>
      </c>
      <c r="Q56" s="36">
        <v>0</v>
      </c>
      <c r="R56" s="13"/>
      <c r="S56">
        <f t="shared" si="9"/>
        <v>1</v>
      </c>
      <c r="T56">
        <f t="shared" si="9"/>
        <v>1</v>
      </c>
      <c r="U56">
        <f t="shared" si="9"/>
        <v>1</v>
      </c>
      <c r="V56">
        <f t="shared" si="9"/>
        <v>1</v>
      </c>
      <c r="W56">
        <f t="shared" si="9"/>
        <v>1</v>
      </c>
    </row>
    <row r="57" spans="1:23">
      <c r="A57" s="1">
        <v>4</v>
      </c>
      <c r="B57" s="2" t="s">
        <v>12</v>
      </c>
      <c r="C57" s="10">
        <v>7</v>
      </c>
      <c r="D57" s="2" t="s">
        <v>21</v>
      </c>
      <c r="E57" s="2">
        <v>1</v>
      </c>
      <c r="F57" s="2">
        <v>0</v>
      </c>
      <c r="G57" s="2">
        <v>1</v>
      </c>
      <c r="H57" s="2">
        <v>0</v>
      </c>
      <c r="I57" s="2">
        <v>0</v>
      </c>
      <c r="J57" s="9">
        <f t="shared" si="1"/>
        <v>-3</v>
      </c>
      <c r="K57" s="7">
        <f t="shared" si="4"/>
        <v>1</v>
      </c>
      <c r="L57" s="10">
        <v>7</v>
      </c>
      <c r="M57" s="35">
        <v>1</v>
      </c>
      <c r="N57" s="35">
        <v>0</v>
      </c>
      <c r="O57" s="35">
        <v>1</v>
      </c>
      <c r="P57" s="35">
        <v>0</v>
      </c>
      <c r="Q57" s="35">
        <v>0</v>
      </c>
      <c r="R57" s="13"/>
      <c r="S57">
        <f t="shared" si="9"/>
        <v>1</v>
      </c>
      <c r="T57">
        <f t="shared" si="9"/>
        <v>1</v>
      </c>
      <c r="U57">
        <f t="shared" si="9"/>
        <v>1</v>
      </c>
      <c r="V57">
        <f t="shared" si="9"/>
        <v>1</v>
      </c>
      <c r="W57">
        <f t="shared" si="9"/>
        <v>1</v>
      </c>
    </row>
    <row r="58" spans="1:23">
      <c r="A58" s="1">
        <v>4</v>
      </c>
      <c r="B58" s="2" t="s">
        <v>12</v>
      </c>
      <c r="C58" s="10">
        <v>8</v>
      </c>
      <c r="D58" s="2" t="s">
        <v>22</v>
      </c>
      <c r="E58" s="2">
        <v>0</v>
      </c>
      <c r="F58" s="2">
        <v>0</v>
      </c>
      <c r="G58" s="2">
        <v>0</v>
      </c>
      <c r="H58" s="2">
        <v>1</v>
      </c>
      <c r="I58" s="2">
        <v>0</v>
      </c>
      <c r="J58" s="9">
        <f t="shared" si="1"/>
        <v>0</v>
      </c>
      <c r="K58" s="7">
        <f t="shared" si="4"/>
        <v>0.8</v>
      </c>
      <c r="L58" s="10">
        <v>8</v>
      </c>
      <c r="M58" s="36">
        <v>1</v>
      </c>
      <c r="N58" s="36">
        <v>0</v>
      </c>
      <c r="O58" s="36">
        <v>0</v>
      </c>
      <c r="P58" s="36">
        <v>1</v>
      </c>
      <c r="Q58" s="36">
        <v>0</v>
      </c>
      <c r="R58" s="13"/>
      <c r="S58">
        <f t="shared" si="9"/>
        <v>0</v>
      </c>
      <c r="T58">
        <f t="shared" si="9"/>
        <v>1</v>
      </c>
      <c r="U58">
        <f t="shared" si="9"/>
        <v>1</v>
      </c>
      <c r="V58">
        <f t="shared" si="9"/>
        <v>1</v>
      </c>
      <c r="W58">
        <f t="shared" si="9"/>
        <v>1</v>
      </c>
    </row>
    <row r="59" spans="1:23">
      <c r="A59" s="1">
        <v>4</v>
      </c>
      <c r="B59" s="2" t="s">
        <v>12</v>
      </c>
      <c r="C59" s="10">
        <v>9</v>
      </c>
      <c r="D59" s="2" t="s">
        <v>23</v>
      </c>
      <c r="E59" s="2">
        <v>1</v>
      </c>
      <c r="F59" s="2">
        <v>0</v>
      </c>
      <c r="G59" s="2">
        <v>1</v>
      </c>
      <c r="H59" s="2">
        <v>0</v>
      </c>
      <c r="I59" s="2">
        <v>0</v>
      </c>
      <c r="J59" s="9">
        <f t="shared" si="1"/>
        <v>-3</v>
      </c>
      <c r="K59" s="7">
        <f t="shared" si="4"/>
        <v>1</v>
      </c>
      <c r="L59" s="10">
        <v>9</v>
      </c>
      <c r="M59" s="35">
        <v>1</v>
      </c>
      <c r="N59" s="35">
        <v>0</v>
      </c>
      <c r="O59" s="35">
        <v>1</v>
      </c>
      <c r="P59" s="35">
        <v>0</v>
      </c>
      <c r="Q59" s="35">
        <v>0</v>
      </c>
      <c r="R59" s="13"/>
      <c r="S59">
        <f t="shared" si="9"/>
        <v>1</v>
      </c>
      <c r="T59">
        <f t="shared" si="9"/>
        <v>1</v>
      </c>
      <c r="U59">
        <f t="shared" si="9"/>
        <v>1</v>
      </c>
      <c r="V59">
        <f t="shared" si="9"/>
        <v>1</v>
      </c>
      <c r="W59">
        <f t="shared" si="9"/>
        <v>1</v>
      </c>
    </row>
    <row r="60" spans="1:23">
      <c r="A60" s="1">
        <v>4</v>
      </c>
      <c r="B60" s="2" t="s">
        <v>12</v>
      </c>
      <c r="C60" s="10">
        <v>10</v>
      </c>
      <c r="D60" s="2" t="s">
        <v>24</v>
      </c>
      <c r="E60" s="2">
        <v>0</v>
      </c>
      <c r="F60" s="2">
        <v>0</v>
      </c>
      <c r="G60" s="2">
        <v>0</v>
      </c>
      <c r="H60" s="2">
        <v>1</v>
      </c>
      <c r="I60" s="2">
        <v>0</v>
      </c>
      <c r="J60" s="9">
        <f t="shared" si="1"/>
        <v>0</v>
      </c>
      <c r="K60" s="7">
        <f t="shared" si="4"/>
        <v>0.8</v>
      </c>
      <c r="L60" s="10">
        <v>10</v>
      </c>
      <c r="M60" s="36">
        <v>0</v>
      </c>
      <c r="N60" s="36">
        <v>1</v>
      </c>
      <c r="O60" s="36">
        <v>0</v>
      </c>
      <c r="P60" s="36">
        <v>1</v>
      </c>
      <c r="Q60" s="36">
        <v>0</v>
      </c>
      <c r="R60" s="13"/>
      <c r="S60">
        <f t="shared" si="9"/>
        <v>1</v>
      </c>
      <c r="T60">
        <f t="shared" si="9"/>
        <v>0</v>
      </c>
      <c r="U60">
        <f t="shared" si="9"/>
        <v>1</v>
      </c>
      <c r="V60">
        <f t="shared" si="9"/>
        <v>1</v>
      </c>
      <c r="W60">
        <f t="shared" si="9"/>
        <v>1</v>
      </c>
    </row>
    <row r="61" spans="1:23">
      <c r="A61" s="1">
        <v>4</v>
      </c>
      <c r="B61" s="2" t="s">
        <v>12</v>
      </c>
      <c r="C61" s="10">
        <v>11</v>
      </c>
      <c r="D61" s="2" t="s">
        <v>25</v>
      </c>
      <c r="E61" s="2">
        <v>0</v>
      </c>
      <c r="F61" s="2">
        <v>0</v>
      </c>
      <c r="G61" s="2">
        <v>0</v>
      </c>
      <c r="H61" s="2">
        <v>1</v>
      </c>
      <c r="I61" s="2">
        <v>0</v>
      </c>
      <c r="J61" s="9">
        <f t="shared" si="1"/>
        <v>0</v>
      </c>
      <c r="K61" s="7">
        <f t="shared" si="4"/>
        <v>0.4</v>
      </c>
      <c r="L61" s="10">
        <v>11</v>
      </c>
      <c r="M61" s="35">
        <v>1</v>
      </c>
      <c r="N61" s="35">
        <v>0</v>
      </c>
      <c r="O61" s="35">
        <v>1</v>
      </c>
      <c r="P61" s="35">
        <v>0</v>
      </c>
      <c r="Q61" s="35">
        <v>0</v>
      </c>
      <c r="R61" s="13"/>
      <c r="S61">
        <f t="shared" si="9"/>
        <v>0</v>
      </c>
      <c r="T61">
        <f t="shared" si="9"/>
        <v>1</v>
      </c>
      <c r="U61">
        <f t="shared" si="9"/>
        <v>0</v>
      </c>
      <c r="V61">
        <f t="shared" si="9"/>
        <v>0</v>
      </c>
      <c r="W61">
        <f t="shared" si="9"/>
        <v>1</v>
      </c>
    </row>
    <row r="62" spans="1:23">
      <c r="A62" s="1">
        <v>4</v>
      </c>
      <c r="B62" s="2" t="s">
        <v>12</v>
      </c>
      <c r="C62" s="10">
        <v>12</v>
      </c>
      <c r="D62" s="2" t="s">
        <v>26</v>
      </c>
      <c r="E62" s="2">
        <v>1</v>
      </c>
      <c r="F62" s="2">
        <v>0</v>
      </c>
      <c r="G62" s="2">
        <v>1</v>
      </c>
      <c r="H62" s="2">
        <v>0</v>
      </c>
      <c r="I62" s="2">
        <v>0</v>
      </c>
      <c r="J62" s="9">
        <f t="shared" si="1"/>
        <v>-3</v>
      </c>
      <c r="K62" s="7">
        <f t="shared" si="4"/>
        <v>1</v>
      </c>
      <c r="L62" s="10">
        <v>12</v>
      </c>
      <c r="M62" s="35">
        <v>1</v>
      </c>
      <c r="N62" s="35">
        <v>0</v>
      </c>
      <c r="O62" s="35">
        <v>1</v>
      </c>
      <c r="P62" s="35">
        <v>0</v>
      </c>
      <c r="Q62" s="35">
        <v>0</v>
      </c>
      <c r="R62" s="13"/>
      <c r="S62">
        <f t="shared" si="9"/>
        <v>1</v>
      </c>
      <c r="T62">
        <f t="shared" si="9"/>
        <v>1</v>
      </c>
      <c r="U62">
        <f t="shared" si="9"/>
        <v>1</v>
      </c>
      <c r="V62">
        <f t="shared" si="9"/>
        <v>1</v>
      </c>
      <c r="W62">
        <f t="shared" si="9"/>
        <v>1</v>
      </c>
    </row>
    <row r="63" spans="1:23">
      <c r="A63" s="1">
        <v>4</v>
      </c>
      <c r="B63" s="2" t="s">
        <v>12</v>
      </c>
      <c r="C63" s="10">
        <v>13</v>
      </c>
      <c r="D63" s="2" t="s">
        <v>27</v>
      </c>
      <c r="E63" s="2">
        <v>0</v>
      </c>
      <c r="F63" s="2">
        <v>0</v>
      </c>
      <c r="G63" s="2">
        <v>0</v>
      </c>
      <c r="H63" s="2">
        <v>1</v>
      </c>
      <c r="I63" s="2">
        <v>0</v>
      </c>
      <c r="J63" s="9">
        <f t="shared" si="1"/>
        <v>0</v>
      </c>
      <c r="K63" s="7">
        <f t="shared" si="4"/>
        <v>0.6</v>
      </c>
      <c r="L63" s="10">
        <v>13</v>
      </c>
      <c r="M63" s="35">
        <v>0</v>
      </c>
      <c r="N63" s="35">
        <v>1</v>
      </c>
      <c r="O63" s="35">
        <v>0</v>
      </c>
      <c r="P63" s="35">
        <v>1</v>
      </c>
      <c r="Q63" s="35">
        <v>1</v>
      </c>
      <c r="R63" s="13"/>
      <c r="S63">
        <f t="shared" si="9"/>
        <v>1</v>
      </c>
      <c r="T63">
        <f t="shared" si="9"/>
        <v>0</v>
      </c>
      <c r="U63">
        <f t="shared" si="9"/>
        <v>1</v>
      </c>
      <c r="V63">
        <f t="shared" si="9"/>
        <v>1</v>
      </c>
      <c r="W63">
        <f t="shared" si="9"/>
        <v>0</v>
      </c>
    </row>
    <row r="64" spans="1:23">
      <c r="A64" s="1">
        <v>4</v>
      </c>
      <c r="B64" s="2" t="s">
        <v>12</v>
      </c>
      <c r="C64" s="10">
        <v>14</v>
      </c>
      <c r="D64" s="2" t="s">
        <v>28</v>
      </c>
      <c r="E64" s="2">
        <v>1</v>
      </c>
      <c r="F64" s="2">
        <v>0</v>
      </c>
      <c r="G64" s="2">
        <v>1</v>
      </c>
      <c r="H64" s="2">
        <v>0</v>
      </c>
      <c r="I64" s="2">
        <v>0</v>
      </c>
      <c r="J64" s="9">
        <f t="shared" si="1"/>
        <v>-3</v>
      </c>
      <c r="K64" s="7">
        <f t="shared" si="4"/>
        <v>1</v>
      </c>
      <c r="L64" s="10">
        <v>14</v>
      </c>
      <c r="M64" s="35">
        <v>1</v>
      </c>
      <c r="N64" s="35">
        <v>0</v>
      </c>
      <c r="O64" s="35">
        <v>1</v>
      </c>
      <c r="P64" s="35">
        <v>0</v>
      </c>
      <c r="Q64" s="35">
        <v>0</v>
      </c>
      <c r="R64" s="13"/>
      <c r="S64">
        <f t="shared" si="9"/>
        <v>1</v>
      </c>
      <c r="T64">
        <f t="shared" si="9"/>
        <v>1</v>
      </c>
      <c r="U64">
        <f t="shared" si="9"/>
        <v>1</v>
      </c>
      <c r="V64">
        <f t="shared" si="9"/>
        <v>1</v>
      </c>
      <c r="W64">
        <f t="shared" si="9"/>
        <v>1</v>
      </c>
    </row>
    <row r="65" spans="1:23">
      <c r="A65" s="1">
        <v>4</v>
      </c>
      <c r="B65" s="2" t="s">
        <v>12</v>
      </c>
      <c r="C65" s="10">
        <v>15</v>
      </c>
      <c r="D65" s="2" t="s">
        <v>29</v>
      </c>
      <c r="E65" s="2">
        <v>0</v>
      </c>
      <c r="F65" s="2">
        <v>0</v>
      </c>
      <c r="G65" s="2">
        <v>0</v>
      </c>
      <c r="H65" s="2">
        <v>1</v>
      </c>
      <c r="I65" s="2">
        <v>0</v>
      </c>
      <c r="J65" s="9">
        <f t="shared" si="1"/>
        <v>0</v>
      </c>
      <c r="K65" s="7">
        <f t="shared" si="4"/>
        <v>0.8</v>
      </c>
      <c r="L65" s="10">
        <v>15</v>
      </c>
      <c r="M65" s="35">
        <v>0</v>
      </c>
      <c r="N65" s="35">
        <v>1</v>
      </c>
      <c r="O65" s="35">
        <v>0</v>
      </c>
      <c r="P65" s="35">
        <v>1</v>
      </c>
      <c r="Q65" s="35">
        <v>0</v>
      </c>
      <c r="R65" s="13"/>
      <c r="S65">
        <f t="shared" si="9"/>
        <v>1</v>
      </c>
      <c r="T65">
        <f t="shared" si="9"/>
        <v>0</v>
      </c>
      <c r="U65">
        <f t="shared" si="9"/>
        <v>1</v>
      </c>
      <c r="V65">
        <f t="shared" si="9"/>
        <v>1</v>
      </c>
      <c r="W65">
        <f t="shared" si="9"/>
        <v>1</v>
      </c>
    </row>
    <row r="66" spans="1:23">
      <c r="A66" s="1">
        <v>4</v>
      </c>
      <c r="B66" s="2" t="s">
        <v>30</v>
      </c>
      <c r="C66" s="10">
        <v>16</v>
      </c>
      <c r="D66" s="2" t="s">
        <v>31</v>
      </c>
      <c r="E66" s="2">
        <v>1</v>
      </c>
      <c r="F66" s="2">
        <v>0</v>
      </c>
      <c r="G66" s="2">
        <v>1</v>
      </c>
      <c r="H66" s="2">
        <v>0</v>
      </c>
      <c r="I66" s="2">
        <v>1</v>
      </c>
      <c r="J66" s="9">
        <f t="shared" si="1"/>
        <v>-1</v>
      </c>
      <c r="K66" s="7">
        <f t="shared" si="4"/>
        <v>0.75</v>
      </c>
      <c r="L66" s="10">
        <v>16</v>
      </c>
      <c r="M66" s="35">
        <v>1</v>
      </c>
      <c r="N66" s="35">
        <v>1</v>
      </c>
      <c r="O66" s="35">
        <v>1</v>
      </c>
      <c r="P66" s="35">
        <v>0</v>
      </c>
      <c r="Q66" s="35">
        <v>1</v>
      </c>
      <c r="R66" s="13"/>
      <c r="S66">
        <f t="shared" si="9"/>
        <v>1</v>
      </c>
      <c r="T66">
        <f t="shared" si="9"/>
        <v>0</v>
      </c>
      <c r="U66">
        <f t="shared" si="9"/>
        <v>1</v>
      </c>
      <c r="V66">
        <f t="shared" si="9"/>
        <v>1</v>
      </c>
      <c r="W66">
        <f t="shared" si="9"/>
        <v>1</v>
      </c>
    </row>
    <row r="67" spans="1:23">
      <c r="A67" s="1">
        <v>5</v>
      </c>
      <c r="B67" s="2" t="s">
        <v>12</v>
      </c>
      <c r="C67" s="10">
        <v>1</v>
      </c>
      <c r="D67" s="2" t="s">
        <v>32</v>
      </c>
      <c r="E67" s="2">
        <v>1</v>
      </c>
      <c r="F67" s="2">
        <v>0</v>
      </c>
      <c r="G67" s="2">
        <v>1</v>
      </c>
      <c r="H67" s="2">
        <v>0</v>
      </c>
      <c r="I67" s="2">
        <v>0</v>
      </c>
      <c r="J67" s="9">
        <f t="shared" si="1"/>
        <v>-3</v>
      </c>
      <c r="K67" s="7">
        <f t="shared" si="4"/>
        <v>1</v>
      </c>
      <c r="L67" s="10">
        <v>1</v>
      </c>
      <c r="M67" s="35">
        <v>1</v>
      </c>
      <c r="N67" s="35">
        <v>0</v>
      </c>
      <c r="O67" s="35">
        <v>1</v>
      </c>
      <c r="P67" s="35">
        <v>0</v>
      </c>
      <c r="Q67" s="35">
        <v>0</v>
      </c>
      <c r="R67" s="13"/>
      <c r="S67">
        <f t="shared" ref="S67:W98" si="10">IF(E67=M67, 1, 0)</f>
        <v>1</v>
      </c>
      <c r="T67">
        <f t="shared" si="10"/>
        <v>1</v>
      </c>
      <c r="U67">
        <f t="shared" si="10"/>
        <v>1</v>
      </c>
      <c r="V67">
        <f t="shared" si="10"/>
        <v>1</v>
      </c>
      <c r="W67">
        <f t="shared" si="10"/>
        <v>1</v>
      </c>
    </row>
    <row r="68" spans="1:23">
      <c r="A68" s="1">
        <v>5</v>
      </c>
      <c r="B68" s="2" t="s">
        <v>12</v>
      </c>
      <c r="C68" s="10">
        <v>2</v>
      </c>
      <c r="D68" s="2" t="s">
        <v>16</v>
      </c>
      <c r="E68" s="2">
        <v>0</v>
      </c>
      <c r="F68" s="2">
        <v>0</v>
      </c>
      <c r="G68" s="2">
        <v>0</v>
      </c>
      <c r="H68" s="2">
        <v>1</v>
      </c>
      <c r="I68" s="2">
        <v>0</v>
      </c>
      <c r="J68" s="9">
        <f t="shared" ref="J68:J131" si="11">IF(OR(C68=1,C68=3,C68=5,C68=7,C68=9,C68=12,C68=14),-3,IF(OR(C68=2,C68=4,C68=6,C68=8,C68=10,C68=11,C68=13,C68=15),0,-1))</f>
        <v>0</v>
      </c>
      <c r="K68" s="7">
        <f t="shared" si="4"/>
        <v>0.4</v>
      </c>
      <c r="L68" s="10">
        <v>2</v>
      </c>
      <c r="M68" s="36">
        <v>1</v>
      </c>
      <c r="N68" s="36">
        <v>1</v>
      </c>
      <c r="O68" s="36">
        <v>1</v>
      </c>
      <c r="P68" s="36">
        <v>1</v>
      </c>
      <c r="Q68" s="36">
        <v>0</v>
      </c>
      <c r="R68" s="13"/>
      <c r="S68">
        <f t="shared" si="10"/>
        <v>0</v>
      </c>
      <c r="T68">
        <f t="shared" si="10"/>
        <v>0</v>
      </c>
      <c r="U68">
        <f t="shared" si="10"/>
        <v>0</v>
      </c>
      <c r="V68">
        <f t="shared" si="10"/>
        <v>1</v>
      </c>
      <c r="W68">
        <f t="shared" si="10"/>
        <v>1</v>
      </c>
    </row>
    <row r="69" spans="1:23">
      <c r="A69" s="1">
        <v>5</v>
      </c>
      <c r="B69" s="2" t="s">
        <v>12</v>
      </c>
      <c r="C69" s="10">
        <v>3</v>
      </c>
      <c r="D69" s="2" t="s">
        <v>17</v>
      </c>
      <c r="E69" s="2">
        <v>1</v>
      </c>
      <c r="F69" s="2">
        <v>0</v>
      </c>
      <c r="G69" s="2">
        <v>1</v>
      </c>
      <c r="H69" s="2">
        <v>0</v>
      </c>
      <c r="I69" s="2">
        <v>0</v>
      </c>
      <c r="J69" s="9">
        <f t="shared" si="11"/>
        <v>-3</v>
      </c>
      <c r="K69" s="7">
        <f t="shared" ref="K69:K132" si="12">SUM(IF(E69=M69,1,0),IF(F69=N69,1,0),IF(G69=O69,1,0),IF(H69=P69,1,0),IF(I69=Q69,1,0),J69)/IF(OR(C69=1,C69=3,C69=5,C69=7,C69=9,C69=12,C69=14),2,IF(OR(C69=2,C69=4,C69=6,C69=8,C69=10,C69=11,C69=13,C69=15),5,4))</f>
        <v>1</v>
      </c>
      <c r="L69" s="10">
        <v>3</v>
      </c>
      <c r="M69" s="35">
        <v>1</v>
      </c>
      <c r="N69" s="35">
        <v>0</v>
      </c>
      <c r="O69" s="35">
        <v>1</v>
      </c>
      <c r="P69" s="35">
        <v>0</v>
      </c>
      <c r="Q69" s="35">
        <v>0</v>
      </c>
      <c r="R69" s="13"/>
      <c r="S69">
        <f t="shared" si="10"/>
        <v>1</v>
      </c>
      <c r="T69">
        <f t="shared" si="10"/>
        <v>1</v>
      </c>
      <c r="U69">
        <f t="shared" si="10"/>
        <v>1</v>
      </c>
      <c r="V69">
        <f t="shared" si="10"/>
        <v>1</v>
      </c>
      <c r="W69">
        <f t="shared" si="10"/>
        <v>1</v>
      </c>
    </row>
    <row r="70" spans="1:23">
      <c r="A70" s="1">
        <v>5</v>
      </c>
      <c r="B70" s="2" t="s">
        <v>12</v>
      </c>
      <c r="C70" s="10">
        <v>4</v>
      </c>
      <c r="D70" s="2" t="s">
        <v>18</v>
      </c>
      <c r="E70" s="2">
        <v>0</v>
      </c>
      <c r="F70" s="2">
        <v>0</v>
      </c>
      <c r="G70" s="2">
        <v>0</v>
      </c>
      <c r="H70" s="2">
        <v>0</v>
      </c>
      <c r="I70" s="2">
        <v>1</v>
      </c>
      <c r="J70" s="9">
        <f t="shared" si="11"/>
        <v>0</v>
      </c>
      <c r="K70" s="7">
        <f t="shared" si="12"/>
        <v>0.6</v>
      </c>
      <c r="L70" s="10">
        <v>4</v>
      </c>
      <c r="M70" s="36">
        <v>0</v>
      </c>
      <c r="N70" s="36">
        <v>1</v>
      </c>
      <c r="O70" s="36">
        <v>0</v>
      </c>
      <c r="P70" s="36">
        <v>1</v>
      </c>
      <c r="Q70" s="36">
        <v>1</v>
      </c>
      <c r="R70" s="13"/>
      <c r="S70">
        <f t="shared" si="10"/>
        <v>1</v>
      </c>
      <c r="T70">
        <f t="shared" si="10"/>
        <v>0</v>
      </c>
      <c r="U70">
        <f t="shared" si="10"/>
        <v>1</v>
      </c>
      <c r="V70">
        <f t="shared" si="10"/>
        <v>0</v>
      </c>
      <c r="W70">
        <f t="shared" si="10"/>
        <v>1</v>
      </c>
    </row>
    <row r="71" spans="1:23">
      <c r="A71" s="1">
        <v>5</v>
      </c>
      <c r="B71" s="2" t="s">
        <v>12</v>
      </c>
      <c r="C71" s="10">
        <v>5</v>
      </c>
      <c r="D71" s="2" t="s">
        <v>19</v>
      </c>
      <c r="E71" s="2">
        <v>1</v>
      </c>
      <c r="F71" s="2">
        <v>0</v>
      </c>
      <c r="G71" s="2">
        <v>1</v>
      </c>
      <c r="H71" s="2">
        <v>0</v>
      </c>
      <c r="I71" s="2">
        <v>0</v>
      </c>
      <c r="J71" s="9">
        <f t="shared" si="11"/>
        <v>-3</v>
      </c>
      <c r="K71" s="7">
        <f t="shared" si="12"/>
        <v>1</v>
      </c>
      <c r="L71" s="10">
        <v>5</v>
      </c>
      <c r="M71" s="35">
        <v>1</v>
      </c>
      <c r="N71" s="35">
        <v>0</v>
      </c>
      <c r="O71" s="35">
        <v>1</v>
      </c>
      <c r="P71" s="35">
        <v>0</v>
      </c>
      <c r="Q71" s="35">
        <v>0</v>
      </c>
      <c r="R71" s="13"/>
      <c r="S71">
        <f t="shared" si="10"/>
        <v>1</v>
      </c>
      <c r="T71">
        <f t="shared" si="10"/>
        <v>1</v>
      </c>
      <c r="U71">
        <f t="shared" si="10"/>
        <v>1</v>
      </c>
      <c r="V71">
        <f t="shared" si="10"/>
        <v>1</v>
      </c>
      <c r="W71">
        <f t="shared" si="10"/>
        <v>1</v>
      </c>
    </row>
    <row r="72" spans="1:23">
      <c r="A72" s="1">
        <v>5</v>
      </c>
      <c r="B72" s="2" t="s">
        <v>12</v>
      </c>
      <c r="C72" s="10">
        <v>6</v>
      </c>
      <c r="D72" s="2" t="s">
        <v>20</v>
      </c>
      <c r="E72" s="2">
        <v>0</v>
      </c>
      <c r="F72" s="2">
        <v>0</v>
      </c>
      <c r="G72" s="2">
        <v>0</v>
      </c>
      <c r="H72" s="2">
        <v>1</v>
      </c>
      <c r="I72" s="2">
        <v>0</v>
      </c>
      <c r="J72" s="9">
        <f t="shared" si="11"/>
        <v>0</v>
      </c>
      <c r="K72" s="7">
        <f t="shared" si="12"/>
        <v>1</v>
      </c>
      <c r="L72" s="10">
        <v>6</v>
      </c>
      <c r="M72" s="36">
        <v>0</v>
      </c>
      <c r="N72" s="36">
        <v>0</v>
      </c>
      <c r="O72" s="36">
        <v>0</v>
      </c>
      <c r="P72" s="36">
        <v>1</v>
      </c>
      <c r="Q72" s="36">
        <v>0</v>
      </c>
      <c r="R72" s="13"/>
      <c r="S72">
        <f t="shared" si="10"/>
        <v>1</v>
      </c>
      <c r="T72">
        <f t="shared" si="10"/>
        <v>1</v>
      </c>
      <c r="U72">
        <f t="shared" si="10"/>
        <v>1</v>
      </c>
      <c r="V72">
        <f t="shared" si="10"/>
        <v>1</v>
      </c>
      <c r="W72">
        <f t="shared" si="10"/>
        <v>1</v>
      </c>
    </row>
    <row r="73" spans="1:23">
      <c r="A73" s="1">
        <v>5</v>
      </c>
      <c r="B73" s="2" t="s">
        <v>12</v>
      </c>
      <c r="C73" s="10">
        <v>7</v>
      </c>
      <c r="D73" s="2" t="s">
        <v>21</v>
      </c>
      <c r="E73" s="2">
        <v>1</v>
      </c>
      <c r="F73" s="2">
        <v>0</v>
      </c>
      <c r="G73" s="2">
        <v>1</v>
      </c>
      <c r="H73" s="2">
        <v>0</v>
      </c>
      <c r="I73" s="2">
        <v>0</v>
      </c>
      <c r="J73" s="9">
        <f t="shared" si="11"/>
        <v>-3</v>
      </c>
      <c r="K73" s="7">
        <f t="shared" si="12"/>
        <v>1</v>
      </c>
      <c r="L73" s="10">
        <v>7</v>
      </c>
      <c r="M73" s="35">
        <v>1</v>
      </c>
      <c r="N73" s="35">
        <v>0</v>
      </c>
      <c r="O73" s="35">
        <v>1</v>
      </c>
      <c r="P73" s="35">
        <v>0</v>
      </c>
      <c r="Q73" s="35">
        <v>0</v>
      </c>
      <c r="R73" s="13"/>
      <c r="S73">
        <f t="shared" si="10"/>
        <v>1</v>
      </c>
      <c r="T73">
        <f t="shared" si="10"/>
        <v>1</v>
      </c>
      <c r="U73">
        <f t="shared" si="10"/>
        <v>1</v>
      </c>
      <c r="V73">
        <f t="shared" si="10"/>
        <v>1</v>
      </c>
      <c r="W73">
        <f t="shared" si="10"/>
        <v>1</v>
      </c>
    </row>
    <row r="74" spans="1:23">
      <c r="A74" s="1">
        <v>5</v>
      </c>
      <c r="B74" s="2" t="s">
        <v>12</v>
      </c>
      <c r="C74" s="10">
        <v>8</v>
      </c>
      <c r="D74" s="2" t="s">
        <v>22</v>
      </c>
      <c r="E74" s="2">
        <v>0</v>
      </c>
      <c r="F74" s="2">
        <v>0</v>
      </c>
      <c r="G74" s="2">
        <v>0</v>
      </c>
      <c r="H74" s="2">
        <v>1</v>
      </c>
      <c r="I74" s="2">
        <v>0</v>
      </c>
      <c r="J74" s="9">
        <f t="shared" si="11"/>
        <v>0</v>
      </c>
      <c r="K74" s="7">
        <f t="shared" si="12"/>
        <v>0.8</v>
      </c>
      <c r="L74" s="10">
        <v>8</v>
      </c>
      <c r="M74" s="36">
        <v>1</v>
      </c>
      <c r="N74" s="36">
        <v>0</v>
      </c>
      <c r="O74" s="36">
        <v>0</v>
      </c>
      <c r="P74" s="36">
        <v>1</v>
      </c>
      <c r="Q74" s="36">
        <v>0</v>
      </c>
      <c r="R74" s="13"/>
      <c r="S74">
        <f t="shared" si="10"/>
        <v>0</v>
      </c>
      <c r="T74">
        <f t="shared" si="10"/>
        <v>1</v>
      </c>
      <c r="U74">
        <f t="shared" si="10"/>
        <v>1</v>
      </c>
      <c r="V74">
        <f t="shared" si="10"/>
        <v>1</v>
      </c>
      <c r="W74">
        <f t="shared" si="10"/>
        <v>1</v>
      </c>
    </row>
    <row r="75" spans="1:23">
      <c r="A75" s="1">
        <v>5</v>
      </c>
      <c r="B75" s="2" t="s">
        <v>12</v>
      </c>
      <c r="C75" s="10">
        <v>9</v>
      </c>
      <c r="D75" s="2" t="s">
        <v>23</v>
      </c>
      <c r="E75" s="2">
        <v>1</v>
      </c>
      <c r="F75" s="2">
        <v>0</v>
      </c>
      <c r="G75" s="2">
        <v>1</v>
      </c>
      <c r="H75" s="2">
        <v>0</v>
      </c>
      <c r="I75" s="2">
        <v>0</v>
      </c>
      <c r="J75" s="9">
        <f t="shared" si="11"/>
        <v>-3</v>
      </c>
      <c r="K75" s="7">
        <f t="shared" si="12"/>
        <v>1</v>
      </c>
      <c r="L75" s="10">
        <v>9</v>
      </c>
      <c r="M75" s="35">
        <v>1</v>
      </c>
      <c r="N75" s="35">
        <v>0</v>
      </c>
      <c r="O75" s="35">
        <v>1</v>
      </c>
      <c r="P75" s="35">
        <v>0</v>
      </c>
      <c r="Q75" s="35">
        <v>0</v>
      </c>
      <c r="R75" s="13"/>
      <c r="S75">
        <f t="shared" si="10"/>
        <v>1</v>
      </c>
      <c r="T75">
        <f t="shared" si="10"/>
        <v>1</v>
      </c>
      <c r="U75">
        <f t="shared" si="10"/>
        <v>1</v>
      </c>
      <c r="V75">
        <f t="shared" si="10"/>
        <v>1</v>
      </c>
      <c r="W75">
        <f t="shared" si="10"/>
        <v>1</v>
      </c>
    </row>
    <row r="76" spans="1:23">
      <c r="A76" s="1">
        <v>5</v>
      </c>
      <c r="B76" s="2" t="s">
        <v>12</v>
      </c>
      <c r="C76" s="10">
        <v>10</v>
      </c>
      <c r="D76" s="2" t="s">
        <v>24</v>
      </c>
      <c r="E76" s="2">
        <v>0</v>
      </c>
      <c r="F76" s="2">
        <v>0</v>
      </c>
      <c r="G76" s="2">
        <v>0</v>
      </c>
      <c r="H76" s="2">
        <v>1</v>
      </c>
      <c r="I76" s="2">
        <v>0</v>
      </c>
      <c r="J76" s="9">
        <f t="shared" si="11"/>
        <v>0</v>
      </c>
      <c r="K76" s="7">
        <f t="shared" si="12"/>
        <v>0.8</v>
      </c>
      <c r="L76" s="10">
        <v>10</v>
      </c>
      <c r="M76" s="36">
        <v>0</v>
      </c>
      <c r="N76" s="36">
        <v>1</v>
      </c>
      <c r="O76" s="36">
        <v>0</v>
      </c>
      <c r="P76" s="36">
        <v>1</v>
      </c>
      <c r="Q76" s="36">
        <v>0</v>
      </c>
      <c r="R76" s="13"/>
      <c r="S76">
        <f t="shared" si="10"/>
        <v>1</v>
      </c>
      <c r="T76">
        <f t="shared" si="10"/>
        <v>0</v>
      </c>
      <c r="U76">
        <f t="shared" si="10"/>
        <v>1</v>
      </c>
      <c r="V76">
        <f t="shared" si="10"/>
        <v>1</v>
      </c>
      <c r="W76">
        <f t="shared" si="10"/>
        <v>1</v>
      </c>
    </row>
    <row r="77" spans="1:23">
      <c r="A77" s="1">
        <v>5</v>
      </c>
      <c r="B77" s="2" t="s">
        <v>12</v>
      </c>
      <c r="C77" s="10">
        <v>11</v>
      </c>
      <c r="D77" s="2" t="s">
        <v>25</v>
      </c>
      <c r="E77" s="2">
        <v>0</v>
      </c>
      <c r="F77" s="2">
        <v>0</v>
      </c>
      <c r="G77" s="2">
        <v>0</v>
      </c>
      <c r="H77" s="2">
        <v>1</v>
      </c>
      <c r="I77" s="2">
        <v>0</v>
      </c>
      <c r="J77" s="9">
        <f t="shared" si="11"/>
        <v>0</v>
      </c>
      <c r="K77" s="7">
        <f t="shared" si="12"/>
        <v>0.4</v>
      </c>
      <c r="L77" s="10">
        <v>11</v>
      </c>
      <c r="M77" s="35">
        <v>1</v>
      </c>
      <c r="N77" s="35">
        <v>0</v>
      </c>
      <c r="O77" s="35">
        <v>1</v>
      </c>
      <c r="P77" s="35">
        <v>0</v>
      </c>
      <c r="Q77" s="35">
        <v>0</v>
      </c>
      <c r="R77" s="13"/>
      <c r="S77">
        <f t="shared" si="10"/>
        <v>0</v>
      </c>
      <c r="T77">
        <f t="shared" si="10"/>
        <v>1</v>
      </c>
      <c r="U77">
        <f t="shared" si="10"/>
        <v>0</v>
      </c>
      <c r="V77">
        <f t="shared" si="10"/>
        <v>0</v>
      </c>
      <c r="W77">
        <f t="shared" si="10"/>
        <v>1</v>
      </c>
    </row>
    <row r="78" spans="1:23">
      <c r="A78" s="1">
        <v>5</v>
      </c>
      <c r="B78" s="2" t="s">
        <v>12</v>
      </c>
      <c r="C78" s="10">
        <v>12</v>
      </c>
      <c r="D78" s="2" t="s">
        <v>26</v>
      </c>
      <c r="E78" s="2">
        <v>1</v>
      </c>
      <c r="F78" s="2">
        <v>0</v>
      </c>
      <c r="G78" s="2">
        <v>1</v>
      </c>
      <c r="H78" s="2">
        <v>0</v>
      </c>
      <c r="I78" s="2">
        <v>0</v>
      </c>
      <c r="J78" s="9">
        <f t="shared" si="11"/>
        <v>-3</v>
      </c>
      <c r="K78" s="7">
        <f t="shared" si="12"/>
        <v>1</v>
      </c>
      <c r="L78" s="10">
        <v>12</v>
      </c>
      <c r="M78" s="35">
        <v>1</v>
      </c>
      <c r="N78" s="35">
        <v>0</v>
      </c>
      <c r="O78" s="35">
        <v>1</v>
      </c>
      <c r="P78" s="35">
        <v>0</v>
      </c>
      <c r="Q78" s="35">
        <v>0</v>
      </c>
      <c r="R78" s="13"/>
      <c r="S78">
        <f t="shared" si="10"/>
        <v>1</v>
      </c>
      <c r="T78">
        <f t="shared" si="10"/>
        <v>1</v>
      </c>
      <c r="U78">
        <f t="shared" si="10"/>
        <v>1</v>
      </c>
      <c r="V78">
        <f t="shared" si="10"/>
        <v>1</v>
      </c>
      <c r="W78">
        <f t="shared" si="10"/>
        <v>1</v>
      </c>
    </row>
    <row r="79" spans="1:23">
      <c r="A79" s="1">
        <v>5</v>
      </c>
      <c r="B79" s="2" t="s">
        <v>12</v>
      </c>
      <c r="C79" s="10">
        <v>13</v>
      </c>
      <c r="D79" s="2" t="s">
        <v>27</v>
      </c>
      <c r="E79" s="2">
        <v>1</v>
      </c>
      <c r="F79" s="2">
        <v>0</v>
      </c>
      <c r="G79" s="2">
        <v>1</v>
      </c>
      <c r="H79" s="2">
        <v>1</v>
      </c>
      <c r="I79" s="2">
        <v>1</v>
      </c>
      <c r="J79" s="9">
        <f t="shared" si="11"/>
        <v>0</v>
      </c>
      <c r="K79" s="7">
        <f t="shared" si="12"/>
        <v>0.4</v>
      </c>
      <c r="L79" s="10">
        <v>13</v>
      </c>
      <c r="M79" s="35">
        <v>0</v>
      </c>
      <c r="N79" s="35">
        <v>1</v>
      </c>
      <c r="O79" s="35">
        <v>0</v>
      </c>
      <c r="P79" s="35">
        <v>1</v>
      </c>
      <c r="Q79" s="35">
        <v>1</v>
      </c>
      <c r="R79" s="13"/>
      <c r="S79">
        <f t="shared" si="10"/>
        <v>0</v>
      </c>
      <c r="T79">
        <f t="shared" si="10"/>
        <v>0</v>
      </c>
      <c r="U79">
        <f t="shared" si="10"/>
        <v>0</v>
      </c>
      <c r="V79">
        <f t="shared" si="10"/>
        <v>1</v>
      </c>
      <c r="W79">
        <f t="shared" si="10"/>
        <v>1</v>
      </c>
    </row>
    <row r="80" spans="1:23">
      <c r="A80" s="1">
        <v>5</v>
      </c>
      <c r="B80" s="2" t="s">
        <v>12</v>
      </c>
      <c r="C80" s="10">
        <v>14</v>
      </c>
      <c r="D80" s="2" t="s">
        <v>28</v>
      </c>
      <c r="E80" s="2">
        <v>1</v>
      </c>
      <c r="F80" s="2">
        <v>0</v>
      </c>
      <c r="G80" s="2">
        <v>0</v>
      </c>
      <c r="H80" s="2">
        <v>0</v>
      </c>
      <c r="I80" s="2">
        <v>0</v>
      </c>
      <c r="J80" s="9">
        <f t="shared" si="11"/>
        <v>-3</v>
      </c>
      <c r="K80" s="7">
        <f t="shared" si="12"/>
        <v>0.5</v>
      </c>
      <c r="L80" s="10">
        <v>14</v>
      </c>
      <c r="M80" s="35">
        <v>1</v>
      </c>
      <c r="N80" s="35">
        <v>0</v>
      </c>
      <c r="O80" s="35">
        <v>1</v>
      </c>
      <c r="P80" s="35">
        <v>0</v>
      </c>
      <c r="Q80" s="35">
        <v>0</v>
      </c>
      <c r="R80" s="13"/>
      <c r="S80">
        <f t="shared" si="10"/>
        <v>1</v>
      </c>
      <c r="T80">
        <f t="shared" si="10"/>
        <v>1</v>
      </c>
      <c r="U80">
        <f t="shared" si="10"/>
        <v>0</v>
      </c>
      <c r="V80">
        <f t="shared" si="10"/>
        <v>1</v>
      </c>
      <c r="W80">
        <f t="shared" si="10"/>
        <v>1</v>
      </c>
    </row>
    <row r="81" spans="1:23">
      <c r="A81" s="1">
        <v>5</v>
      </c>
      <c r="B81" s="2" t="s">
        <v>12</v>
      </c>
      <c r="C81" s="10">
        <v>15</v>
      </c>
      <c r="D81" s="2" t="s">
        <v>29</v>
      </c>
      <c r="E81" s="2">
        <v>0</v>
      </c>
      <c r="F81" s="2">
        <v>0</v>
      </c>
      <c r="G81" s="2">
        <v>0</v>
      </c>
      <c r="H81" s="2">
        <v>1</v>
      </c>
      <c r="I81" s="2">
        <v>0</v>
      </c>
      <c r="J81" s="9">
        <f t="shared" si="11"/>
        <v>0</v>
      </c>
      <c r="K81" s="7">
        <f t="shared" si="12"/>
        <v>0.8</v>
      </c>
      <c r="L81" s="10">
        <v>15</v>
      </c>
      <c r="M81" s="35">
        <v>0</v>
      </c>
      <c r="N81" s="35">
        <v>1</v>
      </c>
      <c r="O81" s="35">
        <v>0</v>
      </c>
      <c r="P81" s="35">
        <v>1</v>
      </c>
      <c r="Q81" s="35">
        <v>0</v>
      </c>
      <c r="R81" s="13"/>
      <c r="S81">
        <f t="shared" si="10"/>
        <v>1</v>
      </c>
      <c r="T81">
        <f t="shared" si="10"/>
        <v>0</v>
      </c>
      <c r="U81">
        <f t="shared" si="10"/>
        <v>1</v>
      </c>
      <c r="V81">
        <f t="shared" si="10"/>
        <v>1</v>
      </c>
      <c r="W81">
        <f t="shared" si="10"/>
        <v>1</v>
      </c>
    </row>
    <row r="82" spans="1:23">
      <c r="A82" s="1">
        <v>5</v>
      </c>
      <c r="B82" s="2" t="s">
        <v>30</v>
      </c>
      <c r="C82" s="10">
        <v>16</v>
      </c>
      <c r="D82" s="2" t="s">
        <v>31</v>
      </c>
      <c r="E82" s="2">
        <v>1</v>
      </c>
      <c r="F82" s="2">
        <v>1</v>
      </c>
      <c r="G82" s="2">
        <v>1</v>
      </c>
      <c r="H82" s="2">
        <v>0</v>
      </c>
      <c r="I82" s="2">
        <v>1</v>
      </c>
      <c r="J82" s="9">
        <f t="shared" si="11"/>
        <v>-1</v>
      </c>
      <c r="K82" s="7">
        <f t="shared" si="12"/>
        <v>1</v>
      </c>
      <c r="L82" s="10">
        <v>16</v>
      </c>
      <c r="M82" s="35">
        <v>1</v>
      </c>
      <c r="N82" s="35">
        <v>1</v>
      </c>
      <c r="O82" s="35">
        <v>1</v>
      </c>
      <c r="P82" s="35">
        <v>0</v>
      </c>
      <c r="Q82" s="35">
        <v>1</v>
      </c>
      <c r="R82" s="13"/>
      <c r="S82">
        <f t="shared" si="10"/>
        <v>1</v>
      </c>
      <c r="T82">
        <f t="shared" si="10"/>
        <v>1</v>
      </c>
      <c r="U82">
        <f t="shared" si="10"/>
        <v>1</v>
      </c>
      <c r="V82">
        <f t="shared" si="10"/>
        <v>1</v>
      </c>
      <c r="W82">
        <f t="shared" si="10"/>
        <v>1</v>
      </c>
    </row>
    <row r="83" spans="1:23">
      <c r="A83" s="1">
        <v>6</v>
      </c>
      <c r="B83" s="2" t="s">
        <v>12</v>
      </c>
      <c r="C83" s="10">
        <v>1</v>
      </c>
      <c r="D83" s="2" t="s">
        <v>32</v>
      </c>
      <c r="E83" s="2">
        <v>1</v>
      </c>
      <c r="F83" s="2">
        <v>0</v>
      </c>
      <c r="G83" s="2">
        <v>1</v>
      </c>
      <c r="H83" s="2">
        <v>0</v>
      </c>
      <c r="I83" s="2">
        <v>0</v>
      </c>
      <c r="J83" s="9">
        <f t="shared" si="11"/>
        <v>-3</v>
      </c>
      <c r="K83" s="7">
        <f t="shared" si="12"/>
        <v>1</v>
      </c>
      <c r="L83" s="10">
        <v>1</v>
      </c>
      <c r="M83" s="35">
        <v>1</v>
      </c>
      <c r="N83" s="35">
        <v>0</v>
      </c>
      <c r="O83" s="35">
        <v>1</v>
      </c>
      <c r="P83" s="35">
        <v>0</v>
      </c>
      <c r="Q83" s="35">
        <v>0</v>
      </c>
      <c r="R83" s="13"/>
      <c r="S83">
        <f t="shared" si="10"/>
        <v>1</v>
      </c>
      <c r="T83">
        <f t="shared" si="10"/>
        <v>1</v>
      </c>
      <c r="U83">
        <f t="shared" si="10"/>
        <v>1</v>
      </c>
      <c r="V83">
        <f t="shared" si="10"/>
        <v>1</v>
      </c>
      <c r="W83">
        <f t="shared" si="10"/>
        <v>1</v>
      </c>
    </row>
    <row r="84" spans="1:23">
      <c r="A84" s="1">
        <v>6</v>
      </c>
      <c r="B84" s="2" t="s">
        <v>12</v>
      </c>
      <c r="C84" s="10">
        <v>2</v>
      </c>
      <c r="D84" s="2" t="s">
        <v>16</v>
      </c>
      <c r="E84" s="2">
        <v>1</v>
      </c>
      <c r="F84" s="2">
        <v>1</v>
      </c>
      <c r="G84" s="2">
        <v>0</v>
      </c>
      <c r="H84" s="2">
        <v>1</v>
      </c>
      <c r="I84" s="2">
        <v>0</v>
      </c>
      <c r="J84" s="9">
        <f t="shared" si="11"/>
        <v>0</v>
      </c>
      <c r="K84" s="7">
        <f t="shared" si="12"/>
        <v>0.8</v>
      </c>
      <c r="L84" s="10">
        <v>2</v>
      </c>
      <c r="M84" s="36">
        <v>1</v>
      </c>
      <c r="N84" s="36">
        <v>1</v>
      </c>
      <c r="O84" s="36">
        <v>1</v>
      </c>
      <c r="P84" s="36">
        <v>1</v>
      </c>
      <c r="Q84" s="36">
        <v>0</v>
      </c>
      <c r="R84" s="13"/>
      <c r="S84">
        <f t="shared" si="10"/>
        <v>1</v>
      </c>
      <c r="T84">
        <f t="shared" si="10"/>
        <v>1</v>
      </c>
      <c r="U84">
        <f t="shared" si="10"/>
        <v>0</v>
      </c>
      <c r="V84">
        <f t="shared" si="10"/>
        <v>1</v>
      </c>
      <c r="W84">
        <f t="shared" si="10"/>
        <v>1</v>
      </c>
    </row>
    <row r="85" spans="1:23">
      <c r="A85" s="1">
        <v>6</v>
      </c>
      <c r="B85" s="2" t="s">
        <v>12</v>
      </c>
      <c r="C85" s="10">
        <v>3</v>
      </c>
      <c r="D85" s="2" t="s">
        <v>17</v>
      </c>
      <c r="E85" s="2">
        <v>1</v>
      </c>
      <c r="F85" s="2">
        <v>0</v>
      </c>
      <c r="G85" s="2">
        <v>1</v>
      </c>
      <c r="H85" s="2">
        <v>0</v>
      </c>
      <c r="I85" s="2">
        <v>0</v>
      </c>
      <c r="J85" s="9">
        <f t="shared" si="11"/>
        <v>-3</v>
      </c>
      <c r="K85" s="7">
        <f t="shared" si="12"/>
        <v>1</v>
      </c>
      <c r="L85" s="10">
        <v>3</v>
      </c>
      <c r="M85" s="35">
        <v>1</v>
      </c>
      <c r="N85" s="35">
        <v>0</v>
      </c>
      <c r="O85" s="35">
        <v>1</v>
      </c>
      <c r="P85" s="35">
        <v>0</v>
      </c>
      <c r="Q85" s="35">
        <v>0</v>
      </c>
      <c r="R85" s="13"/>
      <c r="S85">
        <f t="shared" si="10"/>
        <v>1</v>
      </c>
      <c r="T85">
        <f t="shared" si="10"/>
        <v>1</v>
      </c>
      <c r="U85">
        <f t="shared" si="10"/>
        <v>1</v>
      </c>
      <c r="V85">
        <f t="shared" si="10"/>
        <v>1</v>
      </c>
      <c r="W85">
        <f t="shared" si="10"/>
        <v>1</v>
      </c>
    </row>
    <row r="86" spans="1:23">
      <c r="A86" s="1">
        <v>6</v>
      </c>
      <c r="B86" s="2" t="s">
        <v>12</v>
      </c>
      <c r="C86" s="10">
        <v>4</v>
      </c>
      <c r="D86" s="2" t="s">
        <v>18</v>
      </c>
      <c r="E86" s="2">
        <v>1</v>
      </c>
      <c r="F86" s="2">
        <v>0</v>
      </c>
      <c r="G86" s="2">
        <v>0</v>
      </c>
      <c r="H86" s="2">
        <v>1</v>
      </c>
      <c r="I86" s="2">
        <v>0</v>
      </c>
      <c r="J86" s="9">
        <f t="shared" si="11"/>
        <v>0</v>
      </c>
      <c r="K86" s="7">
        <f t="shared" si="12"/>
        <v>0.4</v>
      </c>
      <c r="L86" s="10">
        <v>4</v>
      </c>
      <c r="M86" s="36">
        <v>0</v>
      </c>
      <c r="N86" s="36">
        <v>1</v>
      </c>
      <c r="O86" s="36">
        <v>0</v>
      </c>
      <c r="P86" s="36">
        <v>1</v>
      </c>
      <c r="Q86" s="36">
        <v>1</v>
      </c>
      <c r="R86" s="13"/>
      <c r="S86">
        <f t="shared" si="10"/>
        <v>0</v>
      </c>
      <c r="T86">
        <f t="shared" si="10"/>
        <v>0</v>
      </c>
      <c r="U86">
        <f t="shared" si="10"/>
        <v>1</v>
      </c>
      <c r="V86">
        <f t="shared" si="10"/>
        <v>1</v>
      </c>
      <c r="W86">
        <f t="shared" si="10"/>
        <v>0</v>
      </c>
    </row>
    <row r="87" spans="1:23">
      <c r="A87" s="1">
        <v>6</v>
      </c>
      <c r="B87" s="2" t="s">
        <v>12</v>
      </c>
      <c r="C87" s="10">
        <v>5</v>
      </c>
      <c r="D87" s="2" t="s">
        <v>19</v>
      </c>
      <c r="E87" s="2">
        <v>1</v>
      </c>
      <c r="F87" s="2">
        <v>0</v>
      </c>
      <c r="G87" s="2">
        <v>0</v>
      </c>
      <c r="H87" s="2">
        <v>0</v>
      </c>
      <c r="I87" s="2">
        <v>0</v>
      </c>
      <c r="J87" s="9">
        <f t="shared" si="11"/>
        <v>-3</v>
      </c>
      <c r="K87" s="7">
        <f t="shared" si="12"/>
        <v>0.5</v>
      </c>
      <c r="L87" s="10">
        <v>5</v>
      </c>
      <c r="M87" s="35">
        <v>1</v>
      </c>
      <c r="N87" s="35">
        <v>0</v>
      </c>
      <c r="O87" s="35">
        <v>1</v>
      </c>
      <c r="P87" s="35">
        <v>0</v>
      </c>
      <c r="Q87" s="35">
        <v>0</v>
      </c>
      <c r="R87" s="13"/>
      <c r="S87">
        <f t="shared" si="10"/>
        <v>1</v>
      </c>
      <c r="T87">
        <f t="shared" si="10"/>
        <v>1</v>
      </c>
      <c r="U87">
        <f t="shared" si="10"/>
        <v>0</v>
      </c>
      <c r="V87">
        <f t="shared" si="10"/>
        <v>1</v>
      </c>
      <c r="W87">
        <f t="shared" si="10"/>
        <v>1</v>
      </c>
    </row>
    <row r="88" spans="1:23">
      <c r="A88" s="1">
        <v>6</v>
      </c>
      <c r="B88" s="2" t="s">
        <v>12</v>
      </c>
      <c r="C88" s="10">
        <v>6</v>
      </c>
      <c r="D88" s="2" t="s">
        <v>20</v>
      </c>
      <c r="E88" s="2">
        <v>1</v>
      </c>
      <c r="F88" s="2">
        <v>0</v>
      </c>
      <c r="G88" s="2">
        <v>0</v>
      </c>
      <c r="H88" s="2">
        <v>1</v>
      </c>
      <c r="I88" s="2">
        <v>0</v>
      </c>
      <c r="J88" s="9">
        <f t="shared" si="11"/>
        <v>0</v>
      </c>
      <c r="K88" s="7">
        <f t="shared" si="12"/>
        <v>0.8</v>
      </c>
      <c r="L88" s="10">
        <v>6</v>
      </c>
      <c r="M88" s="36">
        <v>0</v>
      </c>
      <c r="N88" s="36">
        <v>0</v>
      </c>
      <c r="O88" s="36">
        <v>0</v>
      </c>
      <c r="P88" s="36">
        <v>1</v>
      </c>
      <c r="Q88" s="36">
        <v>0</v>
      </c>
      <c r="R88" s="13"/>
      <c r="S88">
        <f t="shared" si="10"/>
        <v>0</v>
      </c>
      <c r="T88">
        <f t="shared" si="10"/>
        <v>1</v>
      </c>
      <c r="U88">
        <f t="shared" si="10"/>
        <v>1</v>
      </c>
      <c r="V88">
        <f t="shared" si="10"/>
        <v>1</v>
      </c>
      <c r="W88">
        <f t="shared" si="10"/>
        <v>1</v>
      </c>
    </row>
    <row r="89" spans="1:23">
      <c r="A89" s="1">
        <v>6</v>
      </c>
      <c r="B89" s="2" t="s">
        <v>12</v>
      </c>
      <c r="C89" s="10">
        <v>7</v>
      </c>
      <c r="D89" s="2" t="s">
        <v>21</v>
      </c>
      <c r="E89" s="2">
        <v>1</v>
      </c>
      <c r="F89" s="2">
        <v>0</v>
      </c>
      <c r="G89" s="2">
        <v>1</v>
      </c>
      <c r="H89" s="2">
        <v>0</v>
      </c>
      <c r="I89" s="2">
        <v>0</v>
      </c>
      <c r="J89" s="9">
        <f t="shared" si="11"/>
        <v>-3</v>
      </c>
      <c r="K89" s="7">
        <f t="shared" si="12"/>
        <v>1</v>
      </c>
      <c r="L89" s="10">
        <v>7</v>
      </c>
      <c r="M89" s="35">
        <v>1</v>
      </c>
      <c r="N89" s="35">
        <v>0</v>
      </c>
      <c r="O89" s="35">
        <v>1</v>
      </c>
      <c r="P89" s="35">
        <v>0</v>
      </c>
      <c r="Q89" s="35">
        <v>0</v>
      </c>
      <c r="R89" s="13"/>
      <c r="S89">
        <f t="shared" si="10"/>
        <v>1</v>
      </c>
      <c r="T89">
        <f t="shared" si="10"/>
        <v>1</v>
      </c>
      <c r="U89">
        <f t="shared" si="10"/>
        <v>1</v>
      </c>
      <c r="V89">
        <f t="shared" si="10"/>
        <v>1</v>
      </c>
      <c r="W89">
        <f t="shared" si="10"/>
        <v>1</v>
      </c>
    </row>
    <row r="90" spans="1:23">
      <c r="A90" s="1">
        <v>6</v>
      </c>
      <c r="B90" s="2" t="s">
        <v>12</v>
      </c>
      <c r="C90" s="10">
        <v>8</v>
      </c>
      <c r="D90" s="2" t="s">
        <v>22</v>
      </c>
      <c r="E90" s="2">
        <v>0</v>
      </c>
      <c r="F90" s="2">
        <v>0</v>
      </c>
      <c r="G90" s="2">
        <v>0</v>
      </c>
      <c r="H90" s="2">
        <v>1</v>
      </c>
      <c r="I90" s="2">
        <v>0</v>
      </c>
      <c r="J90" s="9">
        <f t="shared" si="11"/>
        <v>0</v>
      </c>
      <c r="K90" s="7">
        <f t="shared" si="12"/>
        <v>0.8</v>
      </c>
      <c r="L90" s="10">
        <v>8</v>
      </c>
      <c r="M90" s="36">
        <v>1</v>
      </c>
      <c r="N90" s="36">
        <v>0</v>
      </c>
      <c r="O90" s="36">
        <v>0</v>
      </c>
      <c r="P90" s="36">
        <v>1</v>
      </c>
      <c r="Q90" s="36">
        <v>0</v>
      </c>
      <c r="R90" s="13"/>
      <c r="S90">
        <f t="shared" si="10"/>
        <v>0</v>
      </c>
      <c r="T90">
        <f t="shared" si="10"/>
        <v>1</v>
      </c>
      <c r="U90">
        <f t="shared" si="10"/>
        <v>1</v>
      </c>
      <c r="V90">
        <f t="shared" si="10"/>
        <v>1</v>
      </c>
      <c r="W90">
        <f t="shared" si="10"/>
        <v>1</v>
      </c>
    </row>
    <row r="91" spans="1:23">
      <c r="A91" s="1">
        <v>6</v>
      </c>
      <c r="B91" s="2" t="s">
        <v>12</v>
      </c>
      <c r="C91" s="10">
        <v>9</v>
      </c>
      <c r="D91" s="2" t="s">
        <v>23</v>
      </c>
      <c r="E91" s="2">
        <v>1</v>
      </c>
      <c r="F91" s="2">
        <v>0</v>
      </c>
      <c r="G91" s="2">
        <v>0</v>
      </c>
      <c r="H91" s="2">
        <v>0</v>
      </c>
      <c r="I91" s="2">
        <v>0</v>
      </c>
      <c r="J91" s="9">
        <f t="shared" si="11"/>
        <v>-3</v>
      </c>
      <c r="K91" s="7">
        <f t="shared" si="12"/>
        <v>0.5</v>
      </c>
      <c r="L91" s="10">
        <v>9</v>
      </c>
      <c r="M91" s="35">
        <v>1</v>
      </c>
      <c r="N91" s="35">
        <v>0</v>
      </c>
      <c r="O91" s="35">
        <v>1</v>
      </c>
      <c r="P91" s="35">
        <v>0</v>
      </c>
      <c r="Q91" s="35">
        <v>0</v>
      </c>
      <c r="R91" s="13"/>
      <c r="S91">
        <f t="shared" si="10"/>
        <v>1</v>
      </c>
      <c r="T91">
        <f t="shared" si="10"/>
        <v>1</v>
      </c>
      <c r="U91">
        <f t="shared" si="10"/>
        <v>0</v>
      </c>
      <c r="V91">
        <f t="shared" si="10"/>
        <v>1</v>
      </c>
      <c r="W91">
        <f t="shared" si="10"/>
        <v>1</v>
      </c>
    </row>
    <row r="92" spans="1:23">
      <c r="A92" s="1">
        <v>6</v>
      </c>
      <c r="B92" s="2" t="s">
        <v>12</v>
      </c>
      <c r="C92" s="10">
        <v>10</v>
      </c>
      <c r="D92" s="2" t="s">
        <v>24</v>
      </c>
      <c r="E92" s="2">
        <v>0</v>
      </c>
      <c r="F92" s="2">
        <v>1</v>
      </c>
      <c r="G92" s="2">
        <v>0</v>
      </c>
      <c r="H92" s="2">
        <v>1</v>
      </c>
      <c r="I92" s="2">
        <v>0</v>
      </c>
      <c r="J92" s="9">
        <f t="shared" si="11"/>
        <v>0</v>
      </c>
      <c r="K92" s="7">
        <f t="shared" si="12"/>
        <v>1</v>
      </c>
      <c r="L92" s="10">
        <v>10</v>
      </c>
      <c r="M92" s="36">
        <v>0</v>
      </c>
      <c r="N92" s="36">
        <v>1</v>
      </c>
      <c r="O92" s="36">
        <v>0</v>
      </c>
      <c r="P92" s="36">
        <v>1</v>
      </c>
      <c r="Q92" s="36">
        <v>0</v>
      </c>
      <c r="R92" s="13"/>
      <c r="S92">
        <f t="shared" si="10"/>
        <v>1</v>
      </c>
      <c r="T92">
        <f t="shared" si="10"/>
        <v>1</v>
      </c>
      <c r="U92">
        <f t="shared" si="10"/>
        <v>1</v>
      </c>
      <c r="V92">
        <f t="shared" si="10"/>
        <v>1</v>
      </c>
      <c r="W92">
        <f t="shared" si="10"/>
        <v>1</v>
      </c>
    </row>
    <row r="93" spans="1:23">
      <c r="A93" s="1">
        <v>6</v>
      </c>
      <c r="B93" s="2" t="s">
        <v>12</v>
      </c>
      <c r="C93" s="10">
        <v>11</v>
      </c>
      <c r="D93" s="2" t="s">
        <v>25</v>
      </c>
      <c r="E93" s="2">
        <v>1</v>
      </c>
      <c r="F93" s="2">
        <v>0</v>
      </c>
      <c r="G93" s="2">
        <v>0</v>
      </c>
      <c r="H93" s="2">
        <v>1</v>
      </c>
      <c r="I93" s="2">
        <v>0</v>
      </c>
      <c r="J93" s="9">
        <f t="shared" si="11"/>
        <v>0</v>
      </c>
      <c r="K93" s="7">
        <f t="shared" si="12"/>
        <v>0.6</v>
      </c>
      <c r="L93" s="10">
        <v>11</v>
      </c>
      <c r="M93" s="35">
        <v>1</v>
      </c>
      <c r="N93" s="35">
        <v>0</v>
      </c>
      <c r="O93" s="35">
        <v>1</v>
      </c>
      <c r="P93" s="35">
        <v>0</v>
      </c>
      <c r="Q93" s="35">
        <v>0</v>
      </c>
      <c r="R93" s="13"/>
      <c r="S93">
        <f t="shared" si="10"/>
        <v>1</v>
      </c>
      <c r="T93">
        <f t="shared" si="10"/>
        <v>1</v>
      </c>
      <c r="U93">
        <f t="shared" si="10"/>
        <v>0</v>
      </c>
      <c r="V93">
        <f t="shared" si="10"/>
        <v>0</v>
      </c>
      <c r="W93">
        <f t="shared" si="10"/>
        <v>1</v>
      </c>
    </row>
    <row r="94" spans="1:23">
      <c r="A94" s="1">
        <v>6</v>
      </c>
      <c r="B94" s="2" t="s">
        <v>12</v>
      </c>
      <c r="C94" s="10">
        <v>12</v>
      </c>
      <c r="D94" s="2" t="s">
        <v>26</v>
      </c>
      <c r="E94" s="2">
        <v>1</v>
      </c>
      <c r="F94" s="2">
        <v>0</v>
      </c>
      <c r="G94" s="2">
        <v>1</v>
      </c>
      <c r="H94" s="2">
        <v>0</v>
      </c>
      <c r="I94" s="2">
        <v>0</v>
      </c>
      <c r="J94" s="9">
        <f t="shared" si="11"/>
        <v>-3</v>
      </c>
      <c r="K94" s="7">
        <f t="shared" si="12"/>
        <v>1</v>
      </c>
      <c r="L94" s="10">
        <v>12</v>
      </c>
      <c r="M94" s="35">
        <v>1</v>
      </c>
      <c r="N94" s="35">
        <v>0</v>
      </c>
      <c r="O94" s="35">
        <v>1</v>
      </c>
      <c r="P94" s="35">
        <v>0</v>
      </c>
      <c r="Q94" s="35">
        <v>0</v>
      </c>
      <c r="R94" s="13"/>
      <c r="S94">
        <f t="shared" si="10"/>
        <v>1</v>
      </c>
      <c r="T94">
        <f t="shared" si="10"/>
        <v>1</v>
      </c>
      <c r="U94">
        <f t="shared" si="10"/>
        <v>1</v>
      </c>
      <c r="V94">
        <f t="shared" si="10"/>
        <v>1</v>
      </c>
      <c r="W94">
        <f t="shared" si="10"/>
        <v>1</v>
      </c>
    </row>
    <row r="95" spans="1:23">
      <c r="A95" s="1">
        <v>6</v>
      </c>
      <c r="B95" s="2" t="s">
        <v>12</v>
      </c>
      <c r="C95" s="10">
        <v>13</v>
      </c>
      <c r="D95" s="2" t="s">
        <v>27</v>
      </c>
      <c r="E95" s="2">
        <v>0</v>
      </c>
      <c r="F95" s="2">
        <v>1</v>
      </c>
      <c r="G95" s="2">
        <v>0</v>
      </c>
      <c r="H95" s="2">
        <v>1</v>
      </c>
      <c r="I95" s="2">
        <v>1</v>
      </c>
      <c r="J95" s="9">
        <f t="shared" si="11"/>
        <v>0</v>
      </c>
      <c r="K95" s="7">
        <f t="shared" si="12"/>
        <v>1</v>
      </c>
      <c r="L95" s="10">
        <v>13</v>
      </c>
      <c r="M95" s="35">
        <v>0</v>
      </c>
      <c r="N95" s="35">
        <v>1</v>
      </c>
      <c r="O95" s="35">
        <v>0</v>
      </c>
      <c r="P95" s="35">
        <v>1</v>
      </c>
      <c r="Q95" s="35">
        <v>1</v>
      </c>
      <c r="R95" s="13"/>
      <c r="S95">
        <f t="shared" si="10"/>
        <v>1</v>
      </c>
      <c r="T95">
        <f t="shared" si="10"/>
        <v>1</v>
      </c>
      <c r="U95">
        <f t="shared" si="10"/>
        <v>1</v>
      </c>
      <c r="V95">
        <f t="shared" si="10"/>
        <v>1</v>
      </c>
      <c r="W95">
        <f t="shared" si="10"/>
        <v>1</v>
      </c>
    </row>
    <row r="96" spans="1:23">
      <c r="A96" s="1">
        <v>6</v>
      </c>
      <c r="B96" s="2" t="s">
        <v>12</v>
      </c>
      <c r="C96" s="10">
        <v>14</v>
      </c>
      <c r="D96" s="2" t="s">
        <v>28</v>
      </c>
      <c r="E96" s="2">
        <v>1</v>
      </c>
      <c r="F96" s="2">
        <v>0</v>
      </c>
      <c r="G96" s="2">
        <v>1</v>
      </c>
      <c r="H96" s="2">
        <v>0</v>
      </c>
      <c r="I96" s="2">
        <v>0</v>
      </c>
      <c r="J96" s="9">
        <f t="shared" si="11"/>
        <v>-3</v>
      </c>
      <c r="K96" s="7">
        <f t="shared" si="12"/>
        <v>1</v>
      </c>
      <c r="L96" s="10">
        <v>14</v>
      </c>
      <c r="M96" s="35">
        <v>1</v>
      </c>
      <c r="N96" s="35">
        <v>0</v>
      </c>
      <c r="O96" s="35">
        <v>1</v>
      </c>
      <c r="P96" s="35">
        <v>0</v>
      </c>
      <c r="Q96" s="35">
        <v>0</v>
      </c>
      <c r="R96" s="13"/>
      <c r="S96">
        <f t="shared" si="10"/>
        <v>1</v>
      </c>
      <c r="T96">
        <f t="shared" si="10"/>
        <v>1</v>
      </c>
      <c r="U96">
        <f t="shared" si="10"/>
        <v>1</v>
      </c>
      <c r="V96">
        <f t="shared" si="10"/>
        <v>1</v>
      </c>
      <c r="W96">
        <f t="shared" si="10"/>
        <v>1</v>
      </c>
    </row>
    <row r="97" spans="1:23">
      <c r="A97" s="1">
        <v>6</v>
      </c>
      <c r="B97" s="2" t="s">
        <v>12</v>
      </c>
      <c r="C97" s="10">
        <v>15</v>
      </c>
      <c r="D97" s="2" t="s">
        <v>29</v>
      </c>
      <c r="E97" s="2">
        <v>1</v>
      </c>
      <c r="F97" s="2">
        <v>0</v>
      </c>
      <c r="G97" s="2">
        <v>0</v>
      </c>
      <c r="H97" s="2">
        <v>1</v>
      </c>
      <c r="I97" s="2">
        <v>0</v>
      </c>
      <c r="J97" s="9">
        <f t="shared" si="11"/>
        <v>0</v>
      </c>
      <c r="K97" s="7">
        <f t="shared" si="12"/>
        <v>0.6</v>
      </c>
      <c r="L97" s="10">
        <v>15</v>
      </c>
      <c r="M97" s="35">
        <v>0</v>
      </c>
      <c r="N97" s="35">
        <v>1</v>
      </c>
      <c r="O97" s="35">
        <v>0</v>
      </c>
      <c r="P97" s="35">
        <v>1</v>
      </c>
      <c r="Q97" s="35">
        <v>0</v>
      </c>
      <c r="R97" s="13"/>
      <c r="S97">
        <f t="shared" si="10"/>
        <v>0</v>
      </c>
      <c r="T97">
        <f t="shared" si="10"/>
        <v>0</v>
      </c>
      <c r="U97">
        <f t="shared" si="10"/>
        <v>1</v>
      </c>
      <c r="V97">
        <f t="shared" si="10"/>
        <v>1</v>
      </c>
      <c r="W97">
        <f t="shared" si="10"/>
        <v>1</v>
      </c>
    </row>
    <row r="98" spans="1:23">
      <c r="A98" s="1">
        <v>6</v>
      </c>
      <c r="B98" s="2" t="s">
        <v>30</v>
      </c>
      <c r="C98" s="10">
        <v>16</v>
      </c>
      <c r="D98" s="2" t="s">
        <v>31</v>
      </c>
      <c r="E98" s="2">
        <v>1</v>
      </c>
      <c r="F98" s="2">
        <v>1</v>
      </c>
      <c r="G98" s="2">
        <v>0</v>
      </c>
      <c r="H98" s="2">
        <v>0</v>
      </c>
      <c r="I98" s="2">
        <v>1</v>
      </c>
      <c r="J98" s="9">
        <f t="shared" si="11"/>
        <v>-1</v>
      </c>
      <c r="K98" s="7">
        <f t="shared" si="12"/>
        <v>0.75</v>
      </c>
      <c r="L98" s="10">
        <v>16</v>
      </c>
      <c r="M98" s="35">
        <v>1</v>
      </c>
      <c r="N98" s="35">
        <v>1</v>
      </c>
      <c r="O98" s="35">
        <v>1</v>
      </c>
      <c r="P98" s="35">
        <v>0</v>
      </c>
      <c r="Q98" s="35">
        <v>1</v>
      </c>
      <c r="R98" s="13"/>
      <c r="S98">
        <f t="shared" si="10"/>
        <v>1</v>
      </c>
      <c r="T98">
        <f t="shared" si="10"/>
        <v>1</v>
      </c>
      <c r="U98">
        <f t="shared" si="10"/>
        <v>0</v>
      </c>
      <c r="V98">
        <f t="shared" si="10"/>
        <v>1</v>
      </c>
      <c r="W98">
        <f t="shared" si="10"/>
        <v>1</v>
      </c>
    </row>
    <row r="99" spans="1:23">
      <c r="A99" s="1">
        <v>7</v>
      </c>
      <c r="B99" s="2" t="s">
        <v>12</v>
      </c>
      <c r="C99" s="10">
        <v>1</v>
      </c>
      <c r="D99" s="2" t="s">
        <v>32</v>
      </c>
      <c r="E99" s="2">
        <v>1</v>
      </c>
      <c r="F99" s="2">
        <v>0</v>
      </c>
      <c r="G99" s="2">
        <v>1</v>
      </c>
      <c r="H99" s="2">
        <v>0</v>
      </c>
      <c r="I99" s="2">
        <v>0</v>
      </c>
      <c r="J99" s="9">
        <f t="shared" si="11"/>
        <v>-3</v>
      </c>
      <c r="K99" s="7">
        <f t="shared" si="12"/>
        <v>1</v>
      </c>
      <c r="L99" s="10">
        <v>1</v>
      </c>
      <c r="M99" s="35">
        <v>1</v>
      </c>
      <c r="N99" s="35">
        <v>0</v>
      </c>
      <c r="O99" s="35">
        <v>1</v>
      </c>
      <c r="P99" s="35">
        <v>0</v>
      </c>
      <c r="Q99" s="35">
        <v>0</v>
      </c>
      <c r="R99" s="13"/>
      <c r="S99">
        <f t="shared" ref="S99:W130" si="13">IF(E99=M99, 1, 0)</f>
        <v>1</v>
      </c>
      <c r="T99">
        <f t="shared" si="13"/>
        <v>1</v>
      </c>
      <c r="U99">
        <f t="shared" si="13"/>
        <v>1</v>
      </c>
      <c r="V99">
        <f t="shared" si="13"/>
        <v>1</v>
      </c>
      <c r="W99">
        <f t="shared" si="13"/>
        <v>1</v>
      </c>
    </row>
    <row r="100" spans="1:23">
      <c r="A100" s="1">
        <v>7</v>
      </c>
      <c r="B100" s="2" t="s">
        <v>12</v>
      </c>
      <c r="C100" s="10">
        <v>2</v>
      </c>
      <c r="D100" s="2" t="s">
        <v>16</v>
      </c>
      <c r="E100" s="2">
        <v>1</v>
      </c>
      <c r="F100" s="2">
        <v>1</v>
      </c>
      <c r="G100" s="2">
        <v>1</v>
      </c>
      <c r="H100" s="2">
        <v>1</v>
      </c>
      <c r="I100" s="2">
        <v>0</v>
      </c>
      <c r="J100" s="9">
        <f t="shared" si="11"/>
        <v>0</v>
      </c>
      <c r="K100" s="7">
        <f t="shared" si="12"/>
        <v>1</v>
      </c>
      <c r="L100" s="10">
        <v>2</v>
      </c>
      <c r="M100" s="36">
        <v>1</v>
      </c>
      <c r="N100" s="36">
        <v>1</v>
      </c>
      <c r="O100" s="36">
        <v>1</v>
      </c>
      <c r="P100" s="36">
        <v>1</v>
      </c>
      <c r="Q100" s="36">
        <v>0</v>
      </c>
      <c r="R100" s="13"/>
      <c r="S100">
        <f t="shared" si="13"/>
        <v>1</v>
      </c>
      <c r="T100">
        <f t="shared" si="13"/>
        <v>1</v>
      </c>
      <c r="U100">
        <f t="shared" si="13"/>
        <v>1</v>
      </c>
      <c r="V100">
        <f t="shared" si="13"/>
        <v>1</v>
      </c>
      <c r="W100">
        <f t="shared" si="13"/>
        <v>1</v>
      </c>
    </row>
    <row r="101" spans="1:23">
      <c r="A101" s="1">
        <v>7</v>
      </c>
      <c r="B101" s="2" t="s">
        <v>12</v>
      </c>
      <c r="C101" s="10">
        <v>3</v>
      </c>
      <c r="D101" s="2" t="s">
        <v>17</v>
      </c>
      <c r="E101" s="2">
        <v>1</v>
      </c>
      <c r="F101" s="2">
        <v>0</v>
      </c>
      <c r="G101" s="2">
        <v>1</v>
      </c>
      <c r="H101" s="2">
        <v>0</v>
      </c>
      <c r="I101" s="2">
        <v>0</v>
      </c>
      <c r="J101" s="9">
        <f t="shared" si="11"/>
        <v>-3</v>
      </c>
      <c r="K101" s="7">
        <f t="shared" si="12"/>
        <v>1</v>
      </c>
      <c r="L101" s="10">
        <v>3</v>
      </c>
      <c r="M101" s="35">
        <v>1</v>
      </c>
      <c r="N101" s="35">
        <v>0</v>
      </c>
      <c r="O101" s="35">
        <v>1</v>
      </c>
      <c r="P101" s="35">
        <v>0</v>
      </c>
      <c r="Q101" s="35">
        <v>0</v>
      </c>
      <c r="R101" s="13"/>
      <c r="S101">
        <f t="shared" si="13"/>
        <v>1</v>
      </c>
      <c r="T101">
        <f t="shared" si="13"/>
        <v>1</v>
      </c>
      <c r="U101">
        <f t="shared" si="13"/>
        <v>1</v>
      </c>
      <c r="V101">
        <f t="shared" si="13"/>
        <v>1</v>
      </c>
      <c r="W101">
        <f t="shared" si="13"/>
        <v>1</v>
      </c>
    </row>
    <row r="102" spans="1:23">
      <c r="A102" s="1">
        <v>7</v>
      </c>
      <c r="B102" s="2" t="s">
        <v>12</v>
      </c>
      <c r="C102" s="10">
        <v>4</v>
      </c>
      <c r="D102" s="2" t="s">
        <v>18</v>
      </c>
      <c r="E102" s="2">
        <v>0</v>
      </c>
      <c r="F102" s="2">
        <v>1</v>
      </c>
      <c r="G102" s="2">
        <v>0</v>
      </c>
      <c r="H102" s="2">
        <v>1</v>
      </c>
      <c r="I102" s="2">
        <v>1</v>
      </c>
      <c r="J102" s="9">
        <f t="shared" si="11"/>
        <v>0</v>
      </c>
      <c r="K102" s="7">
        <f t="shared" si="12"/>
        <v>1</v>
      </c>
      <c r="L102" s="10">
        <v>4</v>
      </c>
      <c r="M102" s="36">
        <v>0</v>
      </c>
      <c r="N102" s="36">
        <v>1</v>
      </c>
      <c r="O102" s="36">
        <v>0</v>
      </c>
      <c r="P102" s="36">
        <v>1</v>
      </c>
      <c r="Q102" s="36">
        <v>1</v>
      </c>
      <c r="R102" s="13"/>
      <c r="S102">
        <f t="shared" si="13"/>
        <v>1</v>
      </c>
      <c r="T102">
        <f t="shared" si="13"/>
        <v>1</v>
      </c>
      <c r="U102">
        <f t="shared" si="13"/>
        <v>1</v>
      </c>
      <c r="V102">
        <f t="shared" si="13"/>
        <v>1</v>
      </c>
      <c r="W102">
        <f t="shared" si="13"/>
        <v>1</v>
      </c>
    </row>
    <row r="103" spans="1:23">
      <c r="A103" s="1">
        <v>7</v>
      </c>
      <c r="B103" s="2" t="s">
        <v>12</v>
      </c>
      <c r="C103" s="10">
        <v>5</v>
      </c>
      <c r="D103" s="2" t="s">
        <v>19</v>
      </c>
      <c r="E103" s="2">
        <v>1</v>
      </c>
      <c r="F103" s="2">
        <v>0</v>
      </c>
      <c r="G103" s="2">
        <v>0</v>
      </c>
      <c r="H103" s="2">
        <v>0</v>
      </c>
      <c r="I103" s="2">
        <v>0</v>
      </c>
      <c r="J103" s="9">
        <f t="shared" si="11"/>
        <v>-3</v>
      </c>
      <c r="K103" s="7">
        <f t="shared" si="12"/>
        <v>0.5</v>
      </c>
      <c r="L103" s="10">
        <v>5</v>
      </c>
      <c r="M103" s="35">
        <v>1</v>
      </c>
      <c r="N103" s="35">
        <v>0</v>
      </c>
      <c r="O103" s="35">
        <v>1</v>
      </c>
      <c r="P103" s="35">
        <v>0</v>
      </c>
      <c r="Q103" s="35">
        <v>0</v>
      </c>
      <c r="R103" s="13"/>
      <c r="S103">
        <f t="shared" si="13"/>
        <v>1</v>
      </c>
      <c r="T103">
        <f t="shared" si="13"/>
        <v>1</v>
      </c>
      <c r="U103">
        <f t="shared" si="13"/>
        <v>0</v>
      </c>
      <c r="V103">
        <f t="shared" si="13"/>
        <v>1</v>
      </c>
      <c r="W103">
        <f t="shared" si="13"/>
        <v>1</v>
      </c>
    </row>
    <row r="104" spans="1:23">
      <c r="A104" s="1">
        <v>7</v>
      </c>
      <c r="B104" s="2" t="s">
        <v>12</v>
      </c>
      <c r="C104" s="10">
        <v>6</v>
      </c>
      <c r="D104" s="2" t="s">
        <v>20</v>
      </c>
      <c r="E104" s="2">
        <v>0</v>
      </c>
      <c r="F104" s="2">
        <v>1</v>
      </c>
      <c r="G104" s="2">
        <v>0</v>
      </c>
      <c r="H104" s="2">
        <v>0</v>
      </c>
      <c r="I104" s="2">
        <v>1</v>
      </c>
      <c r="J104" s="9">
        <f t="shared" si="11"/>
        <v>0</v>
      </c>
      <c r="K104" s="7">
        <f t="shared" si="12"/>
        <v>0.4</v>
      </c>
      <c r="L104" s="10">
        <v>6</v>
      </c>
      <c r="M104" s="36">
        <v>0</v>
      </c>
      <c r="N104" s="36">
        <v>0</v>
      </c>
      <c r="O104" s="36">
        <v>0</v>
      </c>
      <c r="P104" s="36">
        <v>1</v>
      </c>
      <c r="Q104" s="36">
        <v>0</v>
      </c>
      <c r="R104" s="13"/>
      <c r="S104">
        <f t="shared" si="13"/>
        <v>1</v>
      </c>
      <c r="T104">
        <f t="shared" si="13"/>
        <v>0</v>
      </c>
      <c r="U104">
        <f t="shared" si="13"/>
        <v>1</v>
      </c>
      <c r="V104">
        <f t="shared" si="13"/>
        <v>0</v>
      </c>
      <c r="W104">
        <f t="shared" si="13"/>
        <v>0</v>
      </c>
    </row>
    <row r="105" spans="1:23">
      <c r="A105" s="1">
        <v>7</v>
      </c>
      <c r="B105" s="2" t="s">
        <v>12</v>
      </c>
      <c r="C105" s="10">
        <v>7</v>
      </c>
      <c r="D105" s="2" t="s">
        <v>21</v>
      </c>
      <c r="E105" s="2">
        <v>1</v>
      </c>
      <c r="F105" s="2">
        <v>0</v>
      </c>
      <c r="G105" s="2">
        <v>0</v>
      </c>
      <c r="H105" s="2">
        <v>0</v>
      </c>
      <c r="I105" s="2">
        <v>0</v>
      </c>
      <c r="J105" s="9">
        <f t="shared" si="11"/>
        <v>-3</v>
      </c>
      <c r="K105" s="7">
        <f t="shared" si="12"/>
        <v>0.5</v>
      </c>
      <c r="L105" s="10">
        <v>7</v>
      </c>
      <c r="M105" s="35">
        <v>1</v>
      </c>
      <c r="N105" s="35">
        <v>0</v>
      </c>
      <c r="O105" s="35">
        <v>1</v>
      </c>
      <c r="P105" s="35">
        <v>0</v>
      </c>
      <c r="Q105" s="35">
        <v>0</v>
      </c>
      <c r="R105" s="13"/>
      <c r="S105">
        <f t="shared" si="13"/>
        <v>1</v>
      </c>
      <c r="T105">
        <f t="shared" si="13"/>
        <v>1</v>
      </c>
      <c r="U105">
        <f t="shared" si="13"/>
        <v>0</v>
      </c>
      <c r="V105">
        <f t="shared" si="13"/>
        <v>1</v>
      </c>
      <c r="W105">
        <f t="shared" si="13"/>
        <v>1</v>
      </c>
    </row>
    <row r="106" spans="1:23">
      <c r="A106" s="1">
        <v>7</v>
      </c>
      <c r="B106" s="2" t="s">
        <v>12</v>
      </c>
      <c r="C106" s="10">
        <v>8</v>
      </c>
      <c r="D106" s="2" t="s">
        <v>22</v>
      </c>
      <c r="E106" s="2">
        <v>1</v>
      </c>
      <c r="F106" s="2">
        <v>1</v>
      </c>
      <c r="G106" s="2">
        <v>0</v>
      </c>
      <c r="H106" s="2">
        <v>0</v>
      </c>
      <c r="I106" s="2">
        <v>1</v>
      </c>
      <c r="J106" s="9">
        <f t="shared" si="11"/>
        <v>0</v>
      </c>
      <c r="K106" s="7">
        <f t="shared" si="12"/>
        <v>0.4</v>
      </c>
      <c r="L106" s="10">
        <v>8</v>
      </c>
      <c r="M106" s="36">
        <v>1</v>
      </c>
      <c r="N106" s="36">
        <v>0</v>
      </c>
      <c r="O106" s="36">
        <v>0</v>
      </c>
      <c r="P106" s="36">
        <v>1</v>
      </c>
      <c r="Q106" s="36">
        <v>0</v>
      </c>
      <c r="R106" s="13"/>
      <c r="S106">
        <f t="shared" si="13"/>
        <v>1</v>
      </c>
      <c r="T106">
        <f t="shared" si="13"/>
        <v>0</v>
      </c>
      <c r="U106">
        <f t="shared" si="13"/>
        <v>1</v>
      </c>
      <c r="V106">
        <f t="shared" si="13"/>
        <v>0</v>
      </c>
      <c r="W106">
        <f t="shared" si="13"/>
        <v>0</v>
      </c>
    </row>
    <row r="107" spans="1:23">
      <c r="A107" s="1">
        <v>7</v>
      </c>
      <c r="B107" s="2" t="s">
        <v>12</v>
      </c>
      <c r="C107" s="10">
        <v>9</v>
      </c>
      <c r="D107" s="2" t="s">
        <v>23</v>
      </c>
      <c r="E107" s="2">
        <v>1</v>
      </c>
      <c r="F107" s="2">
        <v>0</v>
      </c>
      <c r="G107" s="2">
        <v>0</v>
      </c>
      <c r="H107" s="2">
        <v>0</v>
      </c>
      <c r="I107" s="2">
        <v>0</v>
      </c>
      <c r="J107" s="9">
        <f t="shared" si="11"/>
        <v>-3</v>
      </c>
      <c r="K107" s="7">
        <f t="shared" si="12"/>
        <v>0.5</v>
      </c>
      <c r="L107" s="10">
        <v>9</v>
      </c>
      <c r="M107" s="35">
        <v>1</v>
      </c>
      <c r="N107" s="35">
        <v>0</v>
      </c>
      <c r="O107" s="35">
        <v>1</v>
      </c>
      <c r="P107" s="35">
        <v>0</v>
      </c>
      <c r="Q107" s="35">
        <v>0</v>
      </c>
      <c r="R107" s="13"/>
      <c r="S107">
        <f t="shared" si="13"/>
        <v>1</v>
      </c>
      <c r="T107">
        <f t="shared" si="13"/>
        <v>1</v>
      </c>
      <c r="U107">
        <f t="shared" si="13"/>
        <v>0</v>
      </c>
      <c r="V107">
        <f t="shared" si="13"/>
        <v>1</v>
      </c>
      <c r="W107">
        <f t="shared" si="13"/>
        <v>1</v>
      </c>
    </row>
    <row r="108" spans="1:23">
      <c r="A108" s="1">
        <v>7</v>
      </c>
      <c r="B108" s="2" t="s">
        <v>12</v>
      </c>
      <c r="C108" s="10">
        <v>10</v>
      </c>
      <c r="D108" s="2" t="s">
        <v>24</v>
      </c>
      <c r="E108" s="2">
        <v>0</v>
      </c>
      <c r="F108" s="2">
        <v>1</v>
      </c>
      <c r="G108" s="2">
        <v>0</v>
      </c>
      <c r="H108" s="2">
        <v>0</v>
      </c>
      <c r="I108" s="2">
        <v>1</v>
      </c>
      <c r="J108" s="9">
        <f t="shared" si="11"/>
        <v>0</v>
      </c>
      <c r="K108" s="7">
        <f t="shared" si="12"/>
        <v>0.6</v>
      </c>
      <c r="L108" s="10">
        <v>10</v>
      </c>
      <c r="M108" s="36">
        <v>0</v>
      </c>
      <c r="N108" s="36">
        <v>1</v>
      </c>
      <c r="O108" s="36">
        <v>0</v>
      </c>
      <c r="P108" s="36">
        <v>1</v>
      </c>
      <c r="Q108" s="36">
        <v>0</v>
      </c>
      <c r="R108" s="13"/>
      <c r="S108">
        <f t="shared" si="13"/>
        <v>1</v>
      </c>
      <c r="T108">
        <f t="shared" si="13"/>
        <v>1</v>
      </c>
      <c r="U108">
        <f t="shared" si="13"/>
        <v>1</v>
      </c>
      <c r="V108">
        <f t="shared" si="13"/>
        <v>0</v>
      </c>
      <c r="W108">
        <f t="shared" si="13"/>
        <v>0</v>
      </c>
    </row>
    <row r="109" spans="1:23">
      <c r="A109" s="1">
        <v>7</v>
      </c>
      <c r="B109" s="2" t="s">
        <v>12</v>
      </c>
      <c r="C109" s="10">
        <v>11</v>
      </c>
      <c r="D109" s="2" t="s">
        <v>25</v>
      </c>
      <c r="E109" s="2">
        <v>0</v>
      </c>
      <c r="F109" s="2">
        <v>1</v>
      </c>
      <c r="G109" s="2">
        <v>0</v>
      </c>
      <c r="H109" s="2">
        <v>0</v>
      </c>
      <c r="I109" s="2">
        <v>1</v>
      </c>
      <c r="J109" s="9">
        <f t="shared" si="11"/>
        <v>0</v>
      </c>
      <c r="K109" s="7">
        <f t="shared" si="12"/>
        <v>0.2</v>
      </c>
      <c r="L109" s="10">
        <v>11</v>
      </c>
      <c r="M109" s="35">
        <v>1</v>
      </c>
      <c r="N109" s="35">
        <v>0</v>
      </c>
      <c r="O109" s="35">
        <v>1</v>
      </c>
      <c r="P109" s="35">
        <v>0</v>
      </c>
      <c r="Q109" s="35">
        <v>0</v>
      </c>
      <c r="R109" s="13"/>
      <c r="S109">
        <f t="shared" si="13"/>
        <v>0</v>
      </c>
      <c r="T109">
        <f t="shared" si="13"/>
        <v>0</v>
      </c>
      <c r="U109">
        <f t="shared" si="13"/>
        <v>0</v>
      </c>
      <c r="V109">
        <f t="shared" si="13"/>
        <v>1</v>
      </c>
      <c r="W109">
        <f t="shared" si="13"/>
        <v>0</v>
      </c>
    </row>
    <row r="110" spans="1:23">
      <c r="A110" s="1">
        <v>7</v>
      </c>
      <c r="B110" s="2" t="s">
        <v>12</v>
      </c>
      <c r="C110" s="10">
        <v>12</v>
      </c>
      <c r="D110" s="2" t="s">
        <v>26</v>
      </c>
      <c r="E110" s="2">
        <v>1</v>
      </c>
      <c r="F110" s="2">
        <v>0</v>
      </c>
      <c r="G110" s="2">
        <v>1</v>
      </c>
      <c r="H110" s="2">
        <v>0</v>
      </c>
      <c r="I110" s="2">
        <v>0</v>
      </c>
      <c r="J110" s="9">
        <f t="shared" si="11"/>
        <v>-3</v>
      </c>
      <c r="K110" s="7">
        <f t="shared" si="12"/>
        <v>1</v>
      </c>
      <c r="L110" s="10">
        <v>12</v>
      </c>
      <c r="M110" s="35">
        <v>1</v>
      </c>
      <c r="N110" s="35">
        <v>0</v>
      </c>
      <c r="O110" s="35">
        <v>1</v>
      </c>
      <c r="P110" s="35">
        <v>0</v>
      </c>
      <c r="Q110" s="35">
        <v>0</v>
      </c>
      <c r="R110" s="13"/>
      <c r="S110">
        <f t="shared" si="13"/>
        <v>1</v>
      </c>
      <c r="T110">
        <f t="shared" si="13"/>
        <v>1</v>
      </c>
      <c r="U110">
        <f t="shared" si="13"/>
        <v>1</v>
      </c>
      <c r="V110">
        <f t="shared" si="13"/>
        <v>1</v>
      </c>
      <c r="W110">
        <f t="shared" si="13"/>
        <v>1</v>
      </c>
    </row>
    <row r="111" spans="1:23">
      <c r="A111" s="1">
        <v>7</v>
      </c>
      <c r="B111" s="2" t="s">
        <v>12</v>
      </c>
      <c r="C111" s="10">
        <v>13</v>
      </c>
      <c r="D111" s="2" t="s">
        <v>27</v>
      </c>
      <c r="E111" s="2">
        <v>0</v>
      </c>
      <c r="F111" s="2">
        <v>1</v>
      </c>
      <c r="G111" s="2">
        <v>0</v>
      </c>
      <c r="H111" s="2">
        <v>0</v>
      </c>
      <c r="I111" s="2">
        <v>1</v>
      </c>
      <c r="J111" s="9">
        <f t="shared" si="11"/>
        <v>0</v>
      </c>
      <c r="K111" s="7">
        <f t="shared" si="12"/>
        <v>0.8</v>
      </c>
      <c r="L111" s="10">
        <v>13</v>
      </c>
      <c r="M111" s="35">
        <v>0</v>
      </c>
      <c r="N111" s="35">
        <v>1</v>
      </c>
      <c r="O111" s="35">
        <v>0</v>
      </c>
      <c r="P111" s="35">
        <v>1</v>
      </c>
      <c r="Q111" s="35">
        <v>1</v>
      </c>
      <c r="R111" s="13"/>
      <c r="S111">
        <f t="shared" si="13"/>
        <v>1</v>
      </c>
      <c r="T111">
        <f t="shared" si="13"/>
        <v>1</v>
      </c>
      <c r="U111">
        <f t="shared" si="13"/>
        <v>1</v>
      </c>
      <c r="V111">
        <f t="shared" si="13"/>
        <v>0</v>
      </c>
      <c r="W111">
        <f t="shared" si="13"/>
        <v>1</v>
      </c>
    </row>
    <row r="112" spans="1:23">
      <c r="A112" s="1">
        <v>7</v>
      </c>
      <c r="B112" s="2" t="s">
        <v>12</v>
      </c>
      <c r="C112" s="10">
        <v>14</v>
      </c>
      <c r="D112" s="2" t="s">
        <v>28</v>
      </c>
      <c r="E112" s="2">
        <v>1</v>
      </c>
      <c r="F112" s="2">
        <v>0</v>
      </c>
      <c r="G112" s="2">
        <v>1</v>
      </c>
      <c r="H112" s="2">
        <v>0</v>
      </c>
      <c r="I112" s="2">
        <v>0</v>
      </c>
      <c r="J112" s="9">
        <f t="shared" si="11"/>
        <v>-3</v>
      </c>
      <c r="K112" s="7">
        <f t="shared" si="12"/>
        <v>1</v>
      </c>
      <c r="L112" s="10">
        <v>14</v>
      </c>
      <c r="M112" s="35">
        <v>1</v>
      </c>
      <c r="N112" s="35">
        <v>0</v>
      </c>
      <c r="O112" s="35">
        <v>1</v>
      </c>
      <c r="P112" s="35">
        <v>0</v>
      </c>
      <c r="Q112" s="35">
        <v>0</v>
      </c>
      <c r="R112" s="13"/>
      <c r="S112">
        <f t="shared" si="13"/>
        <v>1</v>
      </c>
      <c r="T112">
        <f t="shared" si="13"/>
        <v>1</v>
      </c>
      <c r="U112">
        <f t="shared" si="13"/>
        <v>1</v>
      </c>
      <c r="V112">
        <f t="shared" si="13"/>
        <v>1</v>
      </c>
      <c r="W112">
        <f t="shared" si="13"/>
        <v>1</v>
      </c>
    </row>
    <row r="113" spans="1:23">
      <c r="A113" s="1">
        <v>7</v>
      </c>
      <c r="B113" s="2" t="s">
        <v>12</v>
      </c>
      <c r="C113" s="10">
        <v>15</v>
      </c>
      <c r="D113" s="2" t="s">
        <v>29</v>
      </c>
      <c r="E113" s="2">
        <v>0</v>
      </c>
      <c r="F113" s="2">
        <v>1</v>
      </c>
      <c r="G113" s="2">
        <v>0</v>
      </c>
      <c r="H113" s="2">
        <v>0</v>
      </c>
      <c r="I113" s="2">
        <v>1</v>
      </c>
      <c r="J113" s="9">
        <f t="shared" si="11"/>
        <v>0</v>
      </c>
      <c r="K113" s="7">
        <f t="shared" si="12"/>
        <v>0.6</v>
      </c>
      <c r="L113" s="10">
        <v>15</v>
      </c>
      <c r="M113" s="35">
        <v>0</v>
      </c>
      <c r="N113" s="35">
        <v>1</v>
      </c>
      <c r="O113" s="35">
        <v>0</v>
      </c>
      <c r="P113" s="35">
        <v>1</v>
      </c>
      <c r="Q113" s="35">
        <v>0</v>
      </c>
      <c r="R113" s="13"/>
      <c r="S113">
        <f t="shared" si="13"/>
        <v>1</v>
      </c>
      <c r="T113">
        <f t="shared" si="13"/>
        <v>1</v>
      </c>
      <c r="U113">
        <f t="shared" si="13"/>
        <v>1</v>
      </c>
      <c r="V113">
        <f t="shared" si="13"/>
        <v>0</v>
      </c>
      <c r="W113">
        <f t="shared" si="13"/>
        <v>0</v>
      </c>
    </row>
    <row r="114" spans="1:23">
      <c r="A114" s="1">
        <v>7</v>
      </c>
      <c r="B114" s="2" t="s">
        <v>30</v>
      </c>
      <c r="C114" s="10">
        <v>16</v>
      </c>
      <c r="D114" s="2" t="s">
        <v>31</v>
      </c>
      <c r="E114" s="2">
        <v>0</v>
      </c>
      <c r="F114" s="2">
        <v>1</v>
      </c>
      <c r="G114" s="2">
        <v>0</v>
      </c>
      <c r="H114" s="2">
        <v>0</v>
      </c>
      <c r="I114" s="2">
        <v>1</v>
      </c>
      <c r="J114" s="9">
        <f t="shared" si="11"/>
        <v>-1</v>
      </c>
      <c r="K114" s="7">
        <f t="shared" si="12"/>
        <v>0.5</v>
      </c>
      <c r="L114" s="10">
        <v>16</v>
      </c>
      <c r="M114" s="35">
        <v>1</v>
      </c>
      <c r="N114" s="35">
        <v>1</v>
      </c>
      <c r="O114" s="35">
        <v>1</v>
      </c>
      <c r="P114" s="35">
        <v>0</v>
      </c>
      <c r="Q114" s="35">
        <v>1</v>
      </c>
      <c r="R114" s="13"/>
      <c r="S114">
        <f t="shared" si="13"/>
        <v>0</v>
      </c>
      <c r="T114">
        <f t="shared" si="13"/>
        <v>1</v>
      </c>
      <c r="U114">
        <f t="shared" si="13"/>
        <v>0</v>
      </c>
      <c r="V114">
        <f t="shared" si="13"/>
        <v>1</v>
      </c>
      <c r="W114">
        <f t="shared" si="13"/>
        <v>1</v>
      </c>
    </row>
    <row r="115" spans="1:23">
      <c r="A115" s="1">
        <v>8</v>
      </c>
      <c r="B115" s="2" t="s">
        <v>12</v>
      </c>
      <c r="C115" s="10">
        <v>1</v>
      </c>
      <c r="D115" s="2" t="s">
        <v>32</v>
      </c>
      <c r="E115" s="2">
        <v>1</v>
      </c>
      <c r="F115" s="2">
        <v>0</v>
      </c>
      <c r="G115" s="2">
        <v>1</v>
      </c>
      <c r="H115" s="2">
        <v>0</v>
      </c>
      <c r="I115" s="2">
        <v>0</v>
      </c>
      <c r="J115" s="9">
        <f t="shared" si="11"/>
        <v>-3</v>
      </c>
      <c r="K115" s="7">
        <f t="shared" si="12"/>
        <v>1</v>
      </c>
      <c r="L115" s="10">
        <v>1</v>
      </c>
      <c r="M115" s="35">
        <v>1</v>
      </c>
      <c r="N115" s="35">
        <v>0</v>
      </c>
      <c r="O115" s="35">
        <v>1</v>
      </c>
      <c r="P115" s="35">
        <v>0</v>
      </c>
      <c r="Q115" s="35">
        <v>0</v>
      </c>
      <c r="R115" s="13"/>
      <c r="S115">
        <f t="shared" si="13"/>
        <v>1</v>
      </c>
      <c r="T115">
        <f t="shared" si="13"/>
        <v>1</v>
      </c>
      <c r="U115">
        <f t="shared" si="13"/>
        <v>1</v>
      </c>
      <c r="V115">
        <f t="shared" si="13"/>
        <v>1</v>
      </c>
      <c r="W115">
        <f t="shared" si="13"/>
        <v>1</v>
      </c>
    </row>
    <row r="116" spans="1:23">
      <c r="A116" s="1">
        <v>8</v>
      </c>
      <c r="B116" s="2" t="s">
        <v>12</v>
      </c>
      <c r="C116" s="10">
        <v>2</v>
      </c>
      <c r="D116" s="2" t="s">
        <v>16</v>
      </c>
      <c r="E116" s="2">
        <v>0</v>
      </c>
      <c r="F116" s="2">
        <v>1</v>
      </c>
      <c r="G116" s="2">
        <v>1</v>
      </c>
      <c r="H116" s="2">
        <v>1</v>
      </c>
      <c r="I116" s="2">
        <v>0</v>
      </c>
      <c r="J116" s="9">
        <f t="shared" si="11"/>
        <v>0</v>
      </c>
      <c r="K116" s="7">
        <f t="shared" si="12"/>
        <v>0.8</v>
      </c>
      <c r="L116" s="10">
        <v>2</v>
      </c>
      <c r="M116" s="36">
        <v>1</v>
      </c>
      <c r="N116" s="36">
        <v>1</v>
      </c>
      <c r="O116" s="36">
        <v>1</v>
      </c>
      <c r="P116" s="36">
        <v>1</v>
      </c>
      <c r="Q116" s="36">
        <v>0</v>
      </c>
      <c r="R116" s="13"/>
      <c r="S116">
        <f t="shared" si="13"/>
        <v>0</v>
      </c>
      <c r="T116">
        <f t="shared" si="13"/>
        <v>1</v>
      </c>
      <c r="U116">
        <f t="shared" si="13"/>
        <v>1</v>
      </c>
      <c r="V116">
        <f t="shared" si="13"/>
        <v>1</v>
      </c>
      <c r="W116">
        <f t="shared" si="13"/>
        <v>1</v>
      </c>
    </row>
    <row r="117" spans="1:23">
      <c r="A117" s="1">
        <v>8</v>
      </c>
      <c r="B117" s="2" t="s">
        <v>12</v>
      </c>
      <c r="C117" s="10">
        <v>3</v>
      </c>
      <c r="D117" s="2" t="s">
        <v>17</v>
      </c>
      <c r="E117" s="2">
        <v>1</v>
      </c>
      <c r="F117" s="2">
        <v>0</v>
      </c>
      <c r="G117" s="2">
        <v>0</v>
      </c>
      <c r="H117" s="2">
        <v>0</v>
      </c>
      <c r="I117" s="2">
        <v>0</v>
      </c>
      <c r="J117" s="9">
        <f t="shared" si="11"/>
        <v>-3</v>
      </c>
      <c r="K117" s="7">
        <f t="shared" si="12"/>
        <v>0.5</v>
      </c>
      <c r="L117" s="10">
        <v>3</v>
      </c>
      <c r="M117" s="35">
        <v>1</v>
      </c>
      <c r="N117" s="35">
        <v>0</v>
      </c>
      <c r="O117" s="35">
        <v>1</v>
      </c>
      <c r="P117" s="35">
        <v>0</v>
      </c>
      <c r="Q117" s="35">
        <v>0</v>
      </c>
      <c r="R117" s="13"/>
      <c r="S117">
        <f t="shared" si="13"/>
        <v>1</v>
      </c>
      <c r="T117">
        <f t="shared" si="13"/>
        <v>1</v>
      </c>
      <c r="U117">
        <f t="shared" si="13"/>
        <v>0</v>
      </c>
      <c r="V117">
        <f t="shared" si="13"/>
        <v>1</v>
      </c>
      <c r="W117">
        <f t="shared" si="13"/>
        <v>1</v>
      </c>
    </row>
    <row r="118" spans="1:23">
      <c r="A118" s="1">
        <v>8</v>
      </c>
      <c r="B118" s="2" t="s">
        <v>12</v>
      </c>
      <c r="C118" s="10">
        <v>4</v>
      </c>
      <c r="D118" s="2" t="s">
        <v>18</v>
      </c>
      <c r="E118" s="2">
        <v>0</v>
      </c>
      <c r="F118" s="2">
        <v>1</v>
      </c>
      <c r="G118" s="2">
        <v>0</v>
      </c>
      <c r="H118" s="2">
        <v>1</v>
      </c>
      <c r="I118" s="2">
        <v>0</v>
      </c>
      <c r="J118" s="9">
        <f t="shared" si="11"/>
        <v>0</v>
      </c>
      <c r="K118" s="7">
        <f t="shared" si="12"/>
        <v>0.8</v>
      </c>
      <c r="L118" s="10">
        <v>4</v>
      </c>
      <c r="M118" s="36">
        <v>0</v>
      </c>
      <c r="N118" s="36">
        <v>1</v>
      </c>
      <c r="O118" s="36">
        <v>0</v>
      </c>
      <c r="P118" s="36">
        <v>1</v>
      </c>
      <c r="Q118" s="36">
        <v>1</v>
      </c>
      <c r="R118" s="13"/>
      <c r="S118">
        <f t="shared" si="13"/>
        <v>1</v>
      </c>
      <c r="T118">
        <f t="shared" si="13"/>
        <v>1</v>
      </c>
      <c r="U118">
        <f t="shared" si="13"/>
        <v>1</v>
      </c>
      <c r="V118">
        <f t="shared" si="13"/>
        <v>1</v>
      </c>
      <c r="W118">
        <f t="shared" si="13"/>
        <v>0</v>
      </c>
    </row>
    <row r="119" spans="1:23">
      <c r="A119" s="1">
        <v>8</v>
      </c>
      <c r="B119" s="2" t="s">
        <v>12</v>
      </c>
      <c r="C119" s="10">
        <v>5</v>
      </c>
      <c r="D119" s="2" t="s">
        <v>19</v>
      </c>
      <c r="E119" s="2">
        <v>0</v>
      </c>
      <c r="F119" s="2">
        <v>0</v>
      </c>
      <c r="G119" s="2">
        <v>1</v>
      </c>
      <c r="H119" s="2">
        <v>0</v>
      </c>
      <c r="I119" s="2">
        <v>0</v>
      </c>
      <c r="J119" s="9">
        <f t="shared" si="11"/>
        <v>-3</v>
      </c>
      <c r="K119" s="7">
        <f t="shared" si="12"/>
        <v>0.5</v>
      </c>
      <c r="L119" s="10">
        <v>5</v>
      </c>
      <c r="M119" s="35">
        <v>1</v>
      </c>
      <c r="N119" s="35">
        <v>0</v>
      </c>
      <c r="O119" s="35">
        <v>1</v>
      </c>
      <c r="P119" s="35">
        <v>0</v>
      </c>
      <c r="Q119" s="35">
        <v>0</v>
      </c>
      <c r="R119" s="13"/>
      <c r="S119">
        <f t="shared" si="13"/>
        <v>0</v>
      </c>
      <c r="T119">
        <f t="shared" si="13"/>
        <v>1</v>
      </c>
      <c r="U119">
        <f t="shared" si="13"/>
        <v>1</v>
      </c>
      <c r="V119">
        <f t="shared" si="13"/>
        <v>1</v>
      </c>
      <c r="W119">
        <f t="shared" si="13"/>
        <v>1</v>
      </c>
    </row>
    <row r="120" spans="1:23">
      <c r="A120" s="1">
        <v>8</v>
      </c>
      <c r="B120" s="2" t="s">
        <v>12</v>
      </c>
      <c r="C120" s="10">
        <v>6</v>
      </c>
      <c r="D120" s="2" t="s">
        <v>20</v>
      </c>
      <c r="E120" s="2">
        <v>0</v>
      </c>
      <c r="F120" s="2">
        <v>0</v>
      </c>
      <c r="G120" s="2">
        <v>0</v>
      </c>
      <c r="H120" s="2">
        <v>1</v>
      </c>
      <c r="I120" s="2">
        <v>0</v>
      </c>
      <c r="J120" s="9">
        <f t="shared" si="11"/>
        <v>0</v>
      </c>
      <c r="K120" s="7">
        <f t="shared" si="12"/>
        <v>1</v>
      </c>
      <c r="L120" s="10">
        <v>6</v>
      </c>
      <c r="M120" s="36">
        <v>0</v>
      </c>
      <c r="N120" s="36">
        <v>0</v>
      </c>
      <c r="O120" s="36">
        <v>0</v>
      </c>
      <c r="P120" s="36">
        <v>1</v>
      </c>
      <c r="Q120" s="36">
        <v>0</v>
      </c>
      <c r="R120" s="13"/>
      <c r="S120">
        <f t="shared" si="13"/>
        <v>1</v>
      </c>
      <c r="T120">
        <f t="shared" si="13"/>
        <v>1</v>
      </c>
      <c r="U120">
        <f t="shared" si="13"/>
        <v>1</v>
      </c>
      <c r="V120">
        <f t="shared" si="13"/>
        <v>1</v>
      </c>
      <c r="W120">
        <f t="shared" si="13"/>
        <v>1</v>
      </c>
    </row>
    <row r="121" spans="1:23">
      <c r="A121" s="1">
        <v>8</v>
      </c>
      <c r="B121" s="2" t="s">
        <v>12</v>
      </c>
      <c r="C121" s="10">
        <v>7</v>
      </c>
      <c r="D121" s="2" t="s">
        <v>21</v>
      </c>
      <c r="E121" s="2">
        <v>1</v>
      </c>
      <c r="F121" s="2">
        <v>0</v>
      </c>
      <c r="G121" s="2">
        <v>1</v>
      </c>
      <c r="H121" s="2">
        <v>0</v>
      </c>
      <c r="I121" s="2">
        <v>0</v>
      </c>
      <c r="J121" s="9">
        <f t="shared" si="11"/>
        <v>-3</v>
      </c>
      <c r="K121" s="7">
        <f t="shared" si="12"/>
        <v>1</v>
      </c>
      <c r="L121" s="10">
        <v>7</v>
      </c>
      <c r="M121" s="35">
        <v>1</v>
      </c>
      <c r="N121" s="35">
        <v>0</v>
      </c>
      <c r="O121" s="35">
        <v>1</v>
      </c>
      <c r="P121" s="35">
        <v>0</v>
      </c>
      <c r="Q121" s="35">
        <v>0</v>
      </c>
      <c r="R121" s="13"/>
      <c r="S121">
        <f t="shared" si="13"/>
        <v>1</v>
      </c>
      <c r="T121">
        <f t="shared" si="13"/>
        <v>1</v>
      </c>
      <c r="U121">
        <f t="shared" si="13"/>
        <v>1</v>
      </c>
      <c r="V121">
        <f t="shared" si="13"/>
        <v>1</v>
      </c>
      <c r="W121">
        <f t="shared" si="13"/>
        <v>1</v>
      </c>
    </row>
    <row r="122" spans="1:23">
      <c r="A122" s="1">
        <v>8</v>
      </c>
      <c r="B122" s="2" t="s">
        <v>12</v>
      </c>
      <c r="C122" s="10">
        <v>8</v>
      </c>
      <c r="D122" s="2" t="s">
        <v>22</v>
      </c>
      <c r="E122" s="2">
        <v>1</v>
      </c>
      <c r="F122" s="2">
        <v>0</v>
      </c>
      <c r="G122" s="2">
        <v>0</v>
      </c>
      <c r="H122" s="2">
        <v>1</v>
      </c>
      <c r="I122" s="2">
        <v>0</v>
      </c>
      <c r="J122" s="9">
        <f t="shared" si="11"/>
        <v>0</v>
      </c>
      <c r="K122" s="7">
        <f t="shared" si="12"/>
        <v>1</v>
      </c>
      <c r="L122" s="10">
        <v>8</v>
      </c>
      <c r="M122" s="36">
        <v>1</v>
      </c>
      <c r="N122" s="36">
        <v>0</v>
      </c>
      <c r="O122" s="36">
        <v>0</v>
      </c>
      <c r="P122" s="36">
        <v>1</v>
      </c>
      <c r="Q122" s="36">
        <v>0</v>
      </c>
      <c r="R122" s="13"/>
      <c r="S122">
        <f t="shared" si="13"/>
        <v>1</v>
      </c>
      <c r="T122">
        <f t="shared" si="13"/>
        <v>1</v>
      </c>
      <c r="U122">
        <f t="shared" si="13"/>
        <v>1</v>
      </c>
      <c r="V122">
        <f t="shared" si="13"/>
        <v>1</v>
      </c>
      <c r="W122">
        <f t="shared" si="13"/>
        <v>1</v>
      </c>
    </row>
    <row r="123" spans="1:23">
      <c r="A123" s="1">
        <v>8</v>
      </c>
      <c r="B123" s="2" t="s">
        <v>12</v>
      </c>
      <c r="C123" s="10">
        <v>9</v>
      </c>
      <c r="D123" s="2" t="s">
        <v>23</v>
      </c>
      <c r="E123" s="2">
        <v>1</v>
      </c>
      <c r="F123" s="2">
        <v>0</v>
      </c>
      <c r="G123" s="2">
        <v>0</v>
      </c>
      <c r="H123" s="2">
        <v>0</v>
      </c>
      <c r="I123" s="2">
        <v>0</v>
      </c>
      <c r="J123" s="9">
        <f t="shared" si="11"/>
        <v>-3</v>
      </c>
      <c r="K123" s="7">
        <f t="shared" si="12"/>
        <v>0.5</v>
      </c>
      <c r="L123" s="10">
        <v>9</v>
      </c>
      <c r="M123" s="35">
        <v>1</v>
      </c>
      <c r="N123" s="35">
        <v>0</v>
      </c>
      <c r="O123" s="35">
        <v>1</v>
      </c>
      <c r="P123" s="35">
        <v>0</v>
      </c>
      <c r="Q123" s="35">
        <v>0</v>
      </c>
      <c r="R123" s="13"/>
      <c r="S123">
        <f t="shared" si="13"/>
        <v>1</v>
      </c>
      <c r="T123">
        <f t="shared" si="13"/>
        <v>1</v>
      </c>
      <c r="U123">
        <f t="shared" si="13"/>
        <v>0</v>
      </c>
      <c r="V123">
        <f t="shared" si="13"/>
        <v>1</v>
      </c>
      <c r="W123">
        <f t="shared" si="13"/>
        <v>1</v>
      </c>
    </row>
    <row r="124" spans="1:23">
      <c r="A124" s="1">
        <v>8</v>
      </c>
      <c r="B124" s="2" t="s">
        <v>12</v>
      </c>
      <c r="C124" s="10">
        <v>10</v>
      </c>
      <c r="D124" s="2" t="s">
        <v>24</v>
      </c>
      <c r="E124" s="2">
        <v>1</v>
      </c>
      <c r="F124" s="2">
        <v>0</v>
      </c>
      <c r="G124" s="2">
        <v>0</v>
      </c>
      <c r="H124" s="2">
        <v>1</v>
      </c>
      <c r="I124" s="2">
        <v>0</v>
      </c>
      <c r="J124" s="9">
        <f t="shared" si="11"/>
        <v>0</v>
      </c>
      <c r="K124" s="7">
        <f t="shared" si="12"/>
        <v>0.6</v>
      </c>
      <c r="L124" s="10">
        <v>10</v>
      </c>
      <c r="M124" s="36">
        <v>0</v>
      </c>
      <c r="N124" s="36">
        <v>1</v>
      </c>
      <c r="O124" s="36">
        <v>0</v>
      </c>
      <c r="P124" s="36">
        <v>1</v>
      </c>
      <c r="Q124" s="36">
        <v>0</v>
      </c>
      <c r="R124" s="13"/>
      <c r="S124">
        <f t="shared" si="13"/>
        <v>0</v>
      </c>
      <c r="T124">
        <f t="shared" si="13"/>
        <v>0</v>
      </c>
      <c r="U124">
        <f t="shared" si="13"/>
        <v>1</v>
      </c>
      <c r="V124">
        <f t="shared" si="13"/>
        <v>1</v>
      </c>
      <c r="W124">
        <f t="shared" si="13"/>
        <v>1</v>
      </c>
    </row>
    <row r="125" spans="1:23">
      <c r="A125" s="1">
        <v>8</v>
      </c>
      <c r="B125" s="2" t="s">
        <v>12</v>
      </c>
      <c r="C125" s="10">
        <v>11</v>
      </c>
      <c r="D125" s="2" t="s">
        <v>25</v>
      </c>
      <c r="E125" s="2">
        <v>1</v>
      </c>
      <c r="F125" s="2">
        <v>0</v>
      </c>
      <c r="G125" s="2">
        <v>1</v>
      </c>
      <c r="H125" s="2">
        <v>1</v>
      </c>
      <c r="I125" s="2">
        <v>0</v>
      </c>
      <c r="J125" s="9">
        <f t="shared" si="11"/>
        <v>0</v>
      </c>
      <c r="K125" s="7">
        <f t="shared" si="12"/>
        <v>0.8</v>
      </c>
      <c r="L125" s="10">
        <v>11</v>
      </c>
      <c r="M125" s="35">
        <v>1</v>
      </c>
      <c r="N125" s="35">
        <v>0</v>
      </c>
      <c r="O125" s="35">
        <v>1</v>
      </c>
      <c r="P125" s="35">
        <v>0</v>
      </c>
      <c r="Q125" s="35">
        <v>0</v>
      </c>
      <c r="R125" s="13"/>
      <c r="S125">
        <f t="shared" si="13"/>
        <v>1</v>
      </c>
      <c r="T125">
        <f t="shared" si="13"/>
        <v>1</v>
      </c>
      <c r="U125">
        <f t="shared" si="13"/>
        <v>1</v>
      </c>
      <c r="V125">
        <f t="shared" si="13"/>
        <v>0</v>
      </c>
      <c r="W125">
        <f t="shared" si="13"/>
        <v>1</v>
      </c>
    </row>
    <row r="126" spans="1:23">
      <c r="A126" s="1">
        <v>8</v>
      </c>
      <c r="B126" s="2" t="s">
        <v>12</v>
      </c>
      <c r="C126" s="10">
        <v>12</v>
      </c>
      <c r="D126" s="2" t="s">
        <v>26</v>
      </c>
      <c r="E126" s="2">
        <v>1</v>
      </c>
      <c r="F126" s="2">
        <v>0</v>
      </c>
      <c r="G126" s="2">
        <v>0</v>
      </c>
      <c r="H126" s="2">
        <v>0</v>
      </c>
      <c r="I126" s="2">
        <v>0</v>
      </c>
      <c r="J126" s="9">
        <f t="shared" si="11"/>
        <v>-3</v>
      </c>
      <c r="K126" s="7">
        <f t="shared" si="12"/>
        <v>0.5</v>
      </c>
      <c r="L126" s="10">
        <v>12</v>
      </c>
      <c r="M126" s="35">
        <v>1</v>
      </c>
      <c r="N126" s="35">
        <v>0</v>
      </c>
      <c r="O126" s="35">
        <v>1</v>
      </c>
      <c r="P126" s="35">
        <v>0</v>
      </c>
      <c r="Q126" s="35">
        <v>0</v>
      </c>
      <c r="R126" s="13"/>
      <c r="S126">
        <f t="shared" si="13"/>
        <v>1</v>
      </c>
      <c r="T126">
        <f t="shared" si="13"/>
        <v>1</v>
      </c>
      <c r="U126">
        <f t="shared" si="13"/>
        <v>0</v>
      </c>
      <c r="V126">
        <f t="shared" si="13"/>
        <v>1</v>
      </c>
      <c r="W126">
        <f t="shared" si="13"/>
        <v>1</v>
      </c>
    </row>
    <row r="127" spans="1:23">
      <c r="A127" s="1">
        <v>8</v>
      </c>
      <c r="B127" s="2" t="s">
        <v>12</v>
      </c>
      <c r="C127" s="10">
        <v>13</v>
      </c>
      <c r="D127" s="2" t="s">
        <v>27</v>
      </c>
      <c r="E127" s="2">
        <v>0</v>
      </c>
      <c r="F127" s="2">
        <v>1</v>
      </c>
      <c r="G127" s="2">
        <v>0</v>
      </c>
      <c r="H127" s="2">
        <v>1</v>
      </c>
      <c r="I127" s="2">
        <v>0</v>
      </c>
      <c r="J127" s="9">
        <f t="shared" si="11"/>
        <v>0</v>
      </c>
      <c r="K127" s="7">
        <f t="shared" si="12"/>
        <v>0.8</v>
      </c>
      <c r="L127" s="10">
        <v>13</v>
      </c>
      <c r="M127" s="35">
        <v>0</v>
      </c>
      <c r="N127" s="35">
        <v>1</v>
      </c>
      <c r="O127" s="35">
        <v>0</v>
      </c>
      <c r="P127" s="35">
        <v>1</v>
      </c>
      <c r="Q127" s="35">
        <v>1</v>
      </c>
      <c r="R127" s="13"/>
      <c r="S127">
        <f t="shared" si="13"/>
        <v>1</v>
      </c>
      <c r="T127">
        <f t="shared" si="13"/>
        <v>1</v>
      </c>
      <c r="U127">
        <f t="shared" si="13"/>
        <v>1</v>
      </c>
      <c r="V127">
        <f t="shared" si="13"/>
        <v>1</v>
      </c>
      <c r="W127">
        <f t="shared" si="13"/>
        <v>0</v>
      </c>
    </row>
    <row r="128" spans="1:23">
      <c r="A128" s="1">
        <v>8</v>
      </c>
      <c r="B128" s="2" t="s">
        <v>12</v>
      </c>
      <c r="C128" s="10">
        <v>14</v>
      </c>
      <c r="D128" s="2" t="s">
        <v>28</v>
      </c>
      <c r="E128" s="2">
        <v>1</v>
      </c>
      <c r="F128" s="2">
        <v>0</v>
      </c>
      <c r="G128" s="2">
        <v>0</v>
      </c>
      <c r="H128" s="2">
        <v>0</v>
      </c>
      <c r="I128" s="2">
        <v>0</v>
      </c>
      <c r="J128" s="9">
        <f t="shared" si="11"/>
        <v>-3</v>
      </c>
      <c r="K128" s="7">
        <f t="shared" si="12"/>
        <v>0.5</v>
      </c>
      <c r="L128" s="10">
        <v>14</v>
      </c>
      <c r="M128" s="35">
        <v>1</v>
      </c>
      <c r="N128" s="35">
        <v>0</v>
      </c>
      <c r="O128" s="35">
        <v>1</v>
      </c>
      <c r="P128" s="35">
        <v>0</v>
      </c>
      <c r="Q128" s="35">
        <v>0</v>
      </c>
      <c r="R128" s="13"/>
      <c r="S128">
        <f t="shared" si="13"/>
        <v>1</v>
      </c>
      <c r="T128">
        <f t="shared" si="13"/>
        <v>1</v>
      </c>
      <c r="U128">
        <f t="shared" si="13"/>
        <v>0</v>
      </c>
      <c r="V128">
        <f t="shared" si="13"/>
        <v>1</v>
      </c>
      <c r="W128">
        <f t="shared" si="13"/>
        <v>1</v>
      </c>
    </row>
    <row r="129" spans="1:23">
      <c r="A129" s="1">
        <v>8</v>
      </c>
      <c r="B129" s="2" t="s">
        <v>12</v>
      </c>
      <c r="C129" s="10">
        <v>15</v>
      </c>
      <c r="D129" s="2" t="s">
        <v>29</v>
      </c>
      <c r="E129" s="2">
        <v>0</v>
      </c>
      <c r="F129" s="2">
        <v>1</v>
      </c>
      <c r="G129" s="2">
        <v>0</v>
      </c>
      <c r="H129" s="2">
        <v>1</v>
      </c>
      <c r="I129" s="2">
        <v>0</v>
      </c>
      <c r="J129" s="9">
        <f t="shared" si="11"/>
        <v>0</v>
      </c>
      <c r="K129" s="7">
        <f t="shared" si="12"/>
        <v>1</v>
      </c>
      <c r="L129" s="10">
        <v>15</v>
      </c>
      <c r="M129" s="35">
        <v>0</v>
      </c>
      <c r="N129" s="35">
        <v>1</v>
      </c>
      <c r="O129" s="35">
        <v>0</v>
      </c>
      <c r="P129" s="35">
        <v>1</v>
      </c>
      <c r="Q129" s="35">
        <v>0</v>
      </c>
      <c r="R129" s="13"/>
      <c r="S129">
        <f t="shared" si="13"/>
        <v>1</v>
      </c>
      <c r="T129">
        <f t="shared" si="13"/>
        <v>1</v>
      </c>
      <c r="U129">
        <f t="shared" si="13"/>
        <v>1</v>
      </c>
      <c r="V129">
        <f t="shared" si="13"/>
        <v>1</v>
      </c>
      <c r="W129">
        <f t="shared" si="13"/>
        <v>1</v>
      </c>
    </row>
    <row r="130" spans="1:23">
      <c r="A130" s="1">
        <v>8</v>
      </c>
      <c r="B130" s="2" t="s">
        <v>30</v>
      </c>
      <c r="C130" s="10">
        <v>16</v>
      </c>
      <c r="D130" s="2" t="s">
        <v>31</v>
      </c>
      <c r="E130" s="2">
        <v>1</v>
      </c>
      <c r="F130" s="2">
        <v>1</v>
      </c>
      <c r="G130" s="2">
        <v>0</v>
      </c>
      <c r="H130" s="2">
        <v>0</v>
      </c>
      <c r="I130" s="2">
        <v>0</v>
      </c>
      <c r="J130" s="9">
        <f t="shared" si="11"/>
        <v>-1</v>
      </c>
      <c r="K130" s="7">
        <f t="shared" si="12"/>
        <v>0.5</v>
      </c>
      <c r="L130" s="10">
        <v>16</v>
      </c>
      <c r="M130" s="35">
        <v>1</v>
      </c>
      <c r="N130" s="35">
        <v>1</v>
      </c>
      <c r="O130" s="35">
        <v>1</v>
      </c>
      <c r="P130" s="35">
        <v>0</v>
      </c>
      <c r="Q130" s="35">
        <v>1</v>
      </c>
      <c r="R130" s="13"/>
      <c r="S130">
        <f t="shared" si="13"/>
        <v>1</v>
      </c>
      <c r="T130">
        <f t="shared" si="13"/>
        <v>1</v>
      </c>
      <c r="U130">
        <f t="shared" si="13"/>
        <v>0</v>
      </c>
      <c r="V130">
        <f t="shared" si="13"/>
        <v>1</v>
      </c>
      <c r="W130">
        <f t="shared" si="13"/>
        <v>0</v>
      </c>
    </row>
    <row r="131" spans="1:23">
      <c r="A131" s="1">
        <v>9</v>
      </c>
      <c r="B131" s="2" t="s">
        <v>12</v>
      </c>
      <c r="C131" s="10">
        <v>1</v>
      </c>
      <c r="D131" s="2" t="s">
        <v>32</v>
      </c>
      <c r="E131" s="2">
        <v>1</v>
      </c>
      <c r="F131" s="2">
        <v>0</v>
      </c>
      <c r="G131" s="2">
        <v>1</v>
      </c>
      <c r="H131" s="2">
        <v>0</v>
      </c>
      <c r="I131" s="2">
        <v>0</v>
      </c>
      <c r="J131" s="9">
        <f t="shared" si="11"/>
        <v>-3</v>
      </c>
      <c r="K131" s="7">
        <f t="shared" si="12"/>
        <v>1</v>
      </c>
      <c r="L131" s="10">
        <v>1</v>
      </c>
      <c r="M131" s="35">
        <v>1</v>
      </c>
      <c r="N131" s="35">
        <v>0</v>
      </c>
      <c r="O131" s="35">
        <v>1</v>
      </c>
      <c r="P131" s="35">
        <v>0</v>
      </c>
      <c r="Q131" s="35">
        <v>0</v>
      </c>
      <c r="R131" s="13"/>
      <c r="S131">
        <f t="shared" ref="S131:W162" si="14">IF(E131=M131, 1, 0)</f>
        <v>1</v>
      </c>
      <c r="T131">
        <f t="shared" si="14"/>
        <v>1</v>
      </c>
      <c r="U131">
        <f t="shared" si="14"/>
        <v>1</v>
      </c>
      <c r="V131">
        <f t="shared" si="14"/>
        <v>1</v>
      </c>
      <c r="W131">
        <f t="shared" si="14"/>
        <v>1</v>
      </c>
    </row>
    <row r="132" spans="1:23">
      <c r="A132" s="1">
        <v>9</v>
      </c>
      <c r="B132" s="2" t="s">
        <v>12</v>
      </c>
      <c r="C132" s="10">
        <v>2</v>
      </c>
      <c r="D132" s="2" t="s">
        <v>16</v>
      </c>
      <c r="E132" s="2">
        <v>1</v>
      </c>
      <c r="F132" s="2">
        <v>1</v>
      </c>
      <c r="G132" s="2">
        <v>1</v>
      </c>
      <c r="H132" s="2">
        <v>1</v>
      </c>
      <c r="I132" s="2">
        <v>1</v>
      </c>
      <c r="J132" s="9">
        <f t="shared" ref="J132:J162" si="15">IF(OR(C132=1,C132=3,C132=5,C132=7,C132=9,C132=12,C132=14),-3,IF(OR(C132=2,C132=4,C132=6,C132=8,C132=10,C132=11,C132=13,C132=15),0,-1))</f>
        <v>0</v>
      </c>
      <c r="K132" s="7">
        <f t="shared" si="12"/>
        <v>0.8</v>
      </c>
      <c r="L132" s="10">
        <v>2</v>
      </c>
      <c r="M132" s="36">
        <v>1</v>
      </c>
      <c r="N132" s="36">
        <v>1</v>
      </c>
      <c r="O132" s="36">
        <v>1</v>
      </c>
      <c r="P132" s="36">
        <v>1</v>
      </c>
      <c r="Q132" s="36">
        <v>0</v>
      </c>
      <c r="R132" s="13"/>
      <c r="S132">
        <f t="shared" si="14"/>
        <v>1</v>
      </c>
      <c r="T132">
        <f t="shared" si="14"/>
        <v>1</v>
      </c>
      <c r="U132">
        <f t="shared" si="14"/>
        <v>1</v>
      </c>
      <c r="V132">
        <f t="shared" si="14"/>
        <v>1</v>
      </c>
      <c r="W132">
        <f t="shared" si="14"/>
        <v>0</v>
      </c>
    </row>
    <row r="133" spans="1:23">
      <c r="A133" s="1">
        <v>9</v>
      </c>
      <c r="B133" s="2" t="s">
        <v>12</v>
      </c>
      <c r="C133" s="10">
        <v>3</v>
      </c>
      <c r="D133" s="2" t="s">
        <v>17</v>
      </c>
      <c r="E133" s="2">
        <v>1</v>
      </c>
      <c r="F133" s="2">
        <v>0</v>
      </c>
      <c r="G133" s="2">
        <v>1</v>
      </c>
      <c r="H133" s="2">
        <v>0</v>
      </c>
      <c r="I133" s="2">
        <v>0</v>
      </c>
      <c r="J133" s="9">
        <f t="shared" si="15"/>
        <v>-3</v>
      </c>
      <c r="K133" s="7">
        <f t="shared" ref="K133:K162" si="16">SUM(IF(E133=M133,1,0),IF(F133=N133,1,0),IF(G133=O133,1,0),IF(H133=P133,1,0),IF(I133=Q133,1,0),J133)/IF(OR(C133=1,C133=3,C133=5,C133=7,C133=9,C133=12,C133=14),2,IF(OR(C133=2,C133=4,C133=6,C133=8,C133=10,C133=11,C133=13,C133=15),5,4))</f>
        <v>1</v>
      </c>
      <c r="L133" s="10">
        <v>3</v>
      </c>
      <c r="M133" s="35">
        <v>1</v>
      </c>
      <c r="N133" s="35">
        <v>0</v>
      </c>
      <c r="O133" s="35">
        <v>1</v>
      </c>
      <c r="P133" s="35">
        <v>0</v>
      </c>
      <c r="Q133" s="35">
        <v>0</v>
      </c>
      <c r="R133" s="13"/>
      <c r="S133">
        <f t="shared" si="14"/>
        <v>1</v>
      </c>
      <c r="T133">
        <f t="shared" si="14"/>
        <v>1</v>
      </c>
      <c r="U133">
        <f t="shared" si="14"/>
        <v>1</v>
      </c>
      <c r="V133">
        <f t="shared" si="14"/>
        <v>1</v>
      </c>
      <c r="W133">
        <f t="shared" si="14"/>
        <v>1</v>
      </c>
    </row>
    <row r="134" spans="1:23">
      <c r="A134" s="1">
        <v>9</v>
      </c>
      <c r="B134" s="2" t="s">
        <v>12</v>
      </c>
      <c r="C134" s="10">
        <v>4</v>
      </c>
      <c r="D134" s="2" t="s">
        <v>18</v>
      </c>
      <c r="E134" s="2">
        <v>0</v>
      </c>
      <c r="F134" s="2">
        <v>1</v>
      </c>
      <c r="G134" s="2">
        <v>0</v>
      </c>
      <c r="H134" s="2">
        <v>1</v>
      </c>
      <c r="I134" s="2">
        <v>0</v>
      </c>
      <c r="J134" s="9">
        <f t="shared" si="15"/>
        <v>0</v>
      </c>
      <c r="K134" s="7">
        <f t="shared" si="16"/>
        <v>0.8</v>
      </c>
      <c r="L134" s="10">
        <v>4</v>
      </c>
      <c r="M134" s="36">
        <v>0</v>
      </c>
      <c r="N134" s="36">
        <v>1</v>
      </c>
      <c r="O134" s="36">
        <v>0</v>
      </c>
      <c r="P134" s="36">
        <v>1</v>
      </c>
      <c r="Q134" s="36">
        <v>1</v>
      </c>
      <c r="R134" s="13"/>
      <c r="S134">
        <f t="shared" si="14"/>
        <v>1</v>
      </c>
      <c r="T134">
        <f t="shared" si="14"/>
        <v>1</v>
      </c>
      <c r="U134">
        <f t="shared" si="14"/>
        <v>1</v>
      </c>
      <c r="V134">
        <f t="shared" si="14"/>
        <v>1</v>
      </c>
      <c r="W134">
        <f t="shared" si="14"/>
        <v>0</v>
      </c>
    </row>
    <row r="135" spans="1:23">
      <c r="A135" s="1">
        <v>9</v>
      </c>
      <c r="B135" s="2" t="s">
        <v>12</v>
      </c>
      <c r="C135" s="10">
        <v>5</v>
      </c>
      <c r="D135" s="2" t="s">
        <v>19</v>
      </c>
      <c r="E135" s="2">
        <v>1</v>
      </c>
      <c r="F135" s="2">
        <v>0</v>
      </c>
      <c r="G135" s="2">
        <v>1</v>
      </c>
      <c r="H135" s="2">
        <v>0</v>
      </c>
      <c r="I135" s="2">
        <v>0</v>
      </c>
      <c r="J135" s="9">
        <f t="shared" si="15"/>
        <v>-3</v>
      </c>
      <c r="K135" s="7">
        <f t="shared" si="16"/>
        <v>1</v>
      </c>
      <c r="L135" s="10">
        <v>5</v>
      </c>
      <c r="M135" s="35">
        <v>1</v>
      </c>
      <c r="N135" s="35">
        <v>0</v>
      </c>
      <c r="O135" s="35">
        <v>1</v>
      </c>
      <c r="P135" s="35">
        <v>0</v>
      </c>
      <c r="Q135" s="35">
        <v>0</v>
      </c>
      <c r="R135" s="13"/>
      <c r="S135">
        <f t="shared" si="14"/>
        <v>1</v>
      </c>
      <c r="T135">
        <f t="shared" si="14"/>
        <v>1</v>
      </c>
      <c r="U135">
        <f t="shared" si="14"/>
        <v>1</v>
      </c>
      <c r="V135">
        <f t="shared" si="14"/>
        <v>1</v>
      </c>
      <c r="W135">
        <f t="shared" si="14"/>
        <v>1</v>
      </c>
    </row>
    <row r="136" spans="1:23">
      <c r="A136" s="1">
        <v>9</v>
      </c>
      <c r="B136" s="2" t="s">
        <v>12</v>
      </c>
      <c r="C136" s="10">
        <v>6</v>
      </c>
      <c r="D136" s="2" t="s">
        <v>20</v>
      </c>
      <c r="E136" s="2">
        <v>0</v>
      </c>
      <c r="F136" s="2">
        <v>0</v>
      </c>
      <c r="G136" s="2">
        <v>0</v>
      </c>
      <c r="H136" s="2">
        <v>1</v>
      </c>
      <c r="I136" s="2">
        <v>0</v>
      </c>
      <c r="J136" s="9">
        <f t="shared" si="15"/>
        <v>0</v>
      </c>
      <c r="K136" s="7">
        <f t="shared" si="16"/>
        <v>1</v>
      </c>
      <c r="L136" s="10">
        <v>6</v>
      </c>
      <c r="M136" s="36">
        <v>0</v>
      </c>
      <c r="N136" s="36">
        <v>0</v>
      </c>
      <c r="O136" s="36">
        <v>0</v>
      </c>
      <c r="P136" s="36">
        <v>1</v>
      </c>
      <c r="Q136" s="36">
        <v>0</v>
      </c>
      <c r="R136" s="13"/>
      <c r="S136">
        <f t="shared" si="14"/>
        <v>1</v>
      </c>
      <c r="T136">
        <f t="shared" si="14"/>
        <v>1</v>
      </c>
      <c r="U136">
        <f t="shared" si="14"/>
        <v>1</v>
      </c>
      <c r="V136">
        <f t="shared" si="14"/>
        <v>1</v>
      </c>
      <c r="W136">
        <f t="shared" si="14"/>
        <v>1</v>
      </c>
    </row>
    <row r="137" spans="1:23">
      <c r="A137" s="1">
        <v>9</v>
      </c>
      <c r="B137" s="2" t="s">
        <v>12</v>
      </c>
      <c r="C137" s="10">
        <v>7</v>
      </c>
      <c r="D137" s="2" t="s">
        <v>21</v>
      </c>
      <c r="E137" s="2">
        <v>1</v>
      </c>
      <c r="F137" s="2">
        <v>0</v>
      </c>
      <c r="G137" s="2">
        <v>1</v>
      </c>
      <c r="H137" s="2">
        <v>0</v>
      </c>
      <c r="I137" s="2">
        <v>0</v>
      </c>
      <c r="J137" s="9">
        <f t="shared" si="15"/>
        <v>-3</v>
      </c>
      <c r="K137" s="7">
        <f t="shared" si="16"/>
        <v>1</v>
      </c>
      <c r="L137" s="10">
        <v>7</v>
      </c>
      <c r="M137" s="35">
        <v>1</v>
      </c>
      <c r="N137" s="35">
        <v>0</v>
      </c>
      <c r="O137" s="35">
        <v>1</v>
      </c>
      <c r="P137" s="35">
        <v>0</v>
      </c>
      <c r="Q137" s="35">
        <v>0</v>
      </c>
      <c r="R137" s="13"/>
      <c r="S137">
        <f t="shared" si="14"/>
        <v>1</v>
      </c>
      <c r="T137">
        <f t="shared" si="14"/>
        <v>1</v>
      </c>
      <c r="U137">
        <f t="shared" si="14"/>
        <v>1</v>
      </c>
      <c r="V137">
        <f t="shared" si="14"/>
        <v>1</v>
      </c>
      <c r="W137">
        <f t="shared" si="14"/>
        <v>1</v>
      </c>
    </row>
    <row r="138" spans="1:23">
      <c r="A138" s="1">
        <v>9</v>
      </c>
      <c r="B138" s="2" t="s">
        <v>12</v>
      </c>
      <c r="C138" s="10">
        <v>8</v>
      </c>
      <c r="D138" s="2" t="s">
        <v>22</v>
      </c>
      <c r="E138" s="2">
        <v>1</v>
      </c>
      <c r="F138" s="2">
        <v>1</v>
      </c>
      <c r="G138" s="2">
        <v>0</v>
      </c>
      <c r="H138" s="2">
        <v>1</v>
      </c>
      <c r="I138" s="2">
        <v>0</v>
      </c>
      <c r="J138" s="9">
        <f t="shared" si="15"/>
        <v>0</v>
      </c>
      <c r="K138" s="7">
        <f t="shared" si="16"/>
        <v>0.8</v>
      </c>
      <c r="L138" s="10">
        <v>8</v>
      </c>
      <c r="M138" s="36">
        <v>1</v>
      </c>
      <c r="N138" s="36">
        <v>0</v>
      </c>
      <c r="O138" s="36">
        <v>0</v>
      </c>
      <c r="P138" s="36">
        <v>1</v>
      </c>
      <c r="Q138" s="36">
        <v>0</v>
      </c>
      <c r="R138" s="13"/>
      <c r="S138">
        <f t="shared" si="14"/>
        <v>1</v>
      </c>
      <c r="T138">
        <f t="shared" si="14"/>
        <v>0</v>
      </c>
      <c r="U138">
        <f t="shared" si="14"/>
        <v>1</v>
      </c>
      <c r="V138">
        <f t="shared" si="14"/>
        <v>1</v>
      </c>
      <c r="W138">
        <f t="shared" si="14"/>
        <v>1</v>
      </c>
    </row>
    <row r="139" spans="1:23">
      <c r="A139" s="1">
        <v>9</v>
      </c>
      <c r="B139" s="2" t="s">
        <v>12</v>
      </c>
      <c r="C139" s="10">
        <v>9</v>
      </c>
      <c r="D139" s="2" t="s">
        <v>23</v>
      </c>
      <c r="E139" s="2">
        <v>1</v>
      </c>
      <c r="F139" s="2">
        <v>0</v>
      </c>
      <c r="G139" s="2">
        <v>1</v>
      </c>
      <c r="H139" s="2">
        <v>0</v>
      </c>
      <c r="I139" s="2">
        <v>0</v>
      </c>
      <c r="J139" s="9">
        <f t="shared" si="15"/>
        <v>-3</v>
      </c>
      <c r="K139" s="7">
        <f t="shared" si="16"/>
        <v>1</v>
      </c>
      <c r="L139" s="10">
        <v>9</v>
      </c>
      <c r="M139" s="35">
        <v>1</v>
      </c>
      <c r="N139" s="35">
        <v>0</v>
      </c>
      <c r="O139" s="35">
        <v>1</v>
      </c>
      <c r="P139" s="35">
        <v>0</v>
      </c>
      <c r="Q139" s="35">
        <v>0</v>
      </c>
      <c r="R139" s="13"/>
      <c r="S139">
        <f t="shared" si="14"/>
        <v>1</v>
      </c>
      <c r="T139">
        <f t="shared" si="14"/>
        <v>1</v>
      </c>
      <c r="U139">
        <f t="shared" si="14"/>
        <v>1</v>
      </c>
      <c r="V139">
        <f t="shared" si="14"/>
        <v>1</v>
      </c>
      <c r="W139">
        <f t="shared" si="14"/>
        <v>1</v>
      </c>
    </row>
    <row r="140" spans="1:23">
      <c r="A140" s="1">
        <v>9</v>
      </c>
      <c r="B140" s="2" t="s">
        <v>12</v>
      </c>
      <c r="C140" s="10">
        <v>10</v>
      </c>
      <c r="D140" s="2" t="s">
        <v>24</v>
      </c>
      <c r="E140" s="2">
        <v>0</v>
      </c>
      <c r="F140" s="2">
        <v>1</v>
      </c>
      <c r="G140" s="2">
        <v>0</v>
      </c>
      <c r="H140" s="2">
        <v>1</v>
      </c>
      <c r="I140" s="2">
        <v>0</v>
      </c>
      <c r="J140" s="9">
        <f t="shared" si="15"/>
        <v>0</v>
      </c>
      <c r="K140" s="7">
        <f t="shared" si="16"/>
        <v>1</v>
      </c>
      <c r="L140" s="10">
        <v>10</v>
      </c>
      <c r="M140" s="36">
        <v>0</v>
      </c>
      <c r="N140" s="36">
        <v>1</v>
      </c>
      <c r="O140" s="36">
        <v>0</v>
      </c>
      <c r="P140" s="36">
        <v>1</v>
      </c>
      <c r="Q140" s="36">
        <v>0</v>
      </c>
      <c r="R140" s="13"/>
      <c r="S140">
        <f t="shared" si="14"/>
        <v>1</v>
      </c>
      <c r="T140">
        <f t="shared" si="14"/>
        <v>1</v>
      </c>
      <c r="U140">
        <f t="shared" si="14"/>
        <v>1</v>
      </c>
      <c r="V140">
        <f t="shared" si="14"/>
        <v>1</v>
      </c>
      <c r="W140">
        <f t="shared" si="14"/>
        <v>1</v>
      </c>
    </row>
    <row r="141" spans="1:23">
      <c r="A141" s="1">
        <v>9</v>
      </c>
      <c r="B141" s="2" t="s">
        <v>12</v>
      </c>
      <c r="C141" s="10">
        <v>11</v>
      </c>
      <c r="D141" s="2" t="s">
        <v>25</v>
      </c>
      <c r="E141" s="2">
        <v>1</v>
      </c>
      <c r="F141" s="2">
        <v>1</v>
      </c>
      <c r="G141" s="2">
        <v>1</v>
      </c>
      <c r="H141" s="2">
        <v>1</v>
      </c>
      <c r="I141" s="2">
        <v>0</v>
      </c>
      <c r="J141" s="9">
        <f t="shared" si="15"/>
        <v>0</v>
      </c>
      <c r="K141" s="7">
        <f t="shared" si="16"/>
        <v>0.6</v>
      </c>
      <c r="L141" s="10">
        <v>11</v>
      </c>
      <c r="M141" s="35">
        <v>1</v>
      </c>
      <c r="N141" s="35">
        <v>0</v>
      </c>
      <c r="O141" s="35">
        <v>1</v>
      </c>
      <c r="P141" s="35">
        <v>0</v>
      </c>
      <c r="Q141" s="35">
        <v>0</v>
      </c>
      <c r="R141" s="13"/>
      <c r="S141">
        <f t="shared" si="14"/>
        <v>1</v>
      </c>
      <c r="T141">
        <f t="shared" si="14"/>
        <v>0</v>
      </c>
      <c r="U141">
        <f t="shared" si="14"/>
        <v>1</v>
      </c>
      <c r="V141">
        <f t="shared" si="14"/>
        <v>0</v>
      </c>
      <c r="W141">
        <f t="shared" si="14"/>
        <v>1</v>
      </c>
    </row>
    <row r="142" spans="1:23">
      <c r="A142" s="1">
        <v>9</v>
      </c>
      <c r="B142" s="2" t="s">
        <v>12</v>
      </c>
      <c r="C142" s="10">
        <v>12</v>
      </c>
      <c r="D142" s="2" t="s">
        <v>26</v>
      </c>
      <c r="E142" s="2">
        <v>1</v>
      </c>
      <c r="F142" s="2">
        <v>0</v>
      </c>
      <c r="G142" s="2">
        <v>1</v>
      </c>
      <c r="H142" s="2">
        <v>0</v>
      </c>
      <c r="I142" s="2">
        <v>0</v>
      </c>
      <c r="J142" s="9">
        <f t="shared" si="15"/>
        <v>-3</v>
      </c>
      <c r="K142" s="7">
        <f t="shared" si="16"/>
        <v>1</v>
      </c>
      <c r="L142" s="10">
        <v>12</v>
      </c>
      <c r="M142" s="35">
        <v>1</v>
      </c>
      <c r="N142" s="35">
        <v>0</v>
      </c>
      <c r="O142" s="35">
        <v>1</v>
      </c>
      <c r="P142" s="35">
        <v>0</v>
      </c>
      <c r="Q142" s="35">
        <v>0</v>
      </c>
      <c r="R142" s="13"/>
      <c r="S142">
        <f t="shared" si="14"/>
        <v>1</v>
      </c>
      <c r="T142">
        <f t="shared" si="14"/>
        <v>1</v>
      </c>
      <c r="U142">
        <f t="shared" si="14"/>
        <v>1</v>
      </c>
      <c r="V142">
        <f t="shared" si="14"/>
        <v>1</v>
      </c>
      <c r="W142">
        <f t="shared" si="14"/>
        <v>1</v>
      </c>
    </row>
    <row r="143" spans="1:23">
      <c r="A143" s="1">
        <v>9</v>
      </c>
      <c r="B143" s="2" t="s">
        <v>12</v>
      </c>
      <c r="C143" s="10">
        <v>13</v>
      </c>
      <c r="D143" s="2" t="s">
        <v>27</v>
      </c>
      <c r="E143" s="2">
        <v>0</v>
      </c>
      <c r="F143" s="2">
        <v>1</v>
      </c>
      <c r="G143" s="2">
        <v>0</v>
      </c>
      <c r="H143" s="2">
        <v>1</v>
      </c>
      <c r="I143" s="2">
        <v>1</v>
      </c>
      <c r="J143" s="9">
        <f t="shared" si="15"/>
        <v>0</v>
      </c>
      <c r="K143" s="7">
        <f t="shared" si="16"/>
        <v>1</v>
      </c>
      <c r="L143" s="10">
        <v>13</v>
      </c>
      <c r="M143" s="35">
        <v>0</v>
      </c>
      <c r="N143" s="35">
        <v>1</v>
      </c>
      <c r="O143" s="35">
        <v>0</v>
      </c>
      <c r="P143" s="35">
        <v>1</v>
      </c>
      <c r="Q143" s="35">
        <v>1</v>
      </c>
      <c r="R143" s="13"/>
      <c r="S143">
        <f t="shared" si="14"/>
        <v>1</v>
      </c>
      <c r="T143">
        <f t="shared" si="14"/>
        <v>1</v>
      </c>
      <c r="U143">
        <f t="shared" si="14"/>
        <v>1</v>
      </c>
      <c r="V143">
        <f t="shared" si="14"/>
        <v>1</v>
      </c>
      <c r="W143">
        <f t="shared" si="14"/>
        <v>1</v>
      </c>
    </row>
    <row r="144" spans="1:23">
      <c r="A144" s="1">
        <v>9</v>
      </c>
      <c r="B144" s="2" t="s">
        <v>12</v>
      </c>
      <c r="C144" s="10">
        <v>14</v>
      </c>
      <c r="D144" s="2" t="s">
        <v>28</v>
      </c>
      <c r="E144" s="2">
        <v>1</v>
      </c>
      <c r="F144" s="2">
        <v>0</v>
      </c>
      <c r="G144" s="2">
        <v>1</v>
      </c>
      <c r="H144" s="2">
        <v>0</v>
      </c>
      <c r="I144" s="2">
        <v>0</v>
      </c>
      <c r="J144" s="9">
        <f t="shared" si="15"/>
        <v>-3</v>
      </c>
      <c r="K144" s="7">
        <f t="shared" si="16"/>
        <v>1</v>
      </c>
      <c r="L144" s="10">
        <v>14</v>
      </c>
      <c r="M144" s="35">
        <v>1</v>
      </c>
      <c r="N144" s="35">
        <v>0</v>
      </c>
      <c r="O144" s="35">
        <v>1</v>
      </c>
      <c r="P144" s="35">
        <v>0</v>
      </c>
      <c r="Q144" s="35">
        <v>0</v>
      </c>
      <c r="R144" s="13"/>
      <c r="S144">
        <f t="shared" si="14"/>
        <v>1</v>
      </c>
      <c r="T144">
        <f t="shared" si="14"/>
        <v>1</v>
      </c>
      <c r="U144">
        <f t="shared" si="14"/>
        <v>1</v>
      </c>
      <c r="V144">
        <f t="shared" si="14"/>
        <v>1</v>
      </c>
      <c r="W144">
        <f t="shared" si="14"/>
        <v>1</v>
      </c>
    </row>
    <row r="145" spans="1:23">
      <c r="A145" s="1">
        <v>9</v>
      </c>
      <c r="B145" s="2" t="s">
        <v>12</v>
      </c>
      <c r="C145" s="10">
        <v>15</v>
      </c>
      <c r="D145" s="2" t="s">
        <v>29</v>
      </c>
      <c r="E145" s="2">
        <v>0</v>
      </c>
      <c r="F145" s="2">
        <v>1</v>
      </c>
      <c r="G145" s="2">
        <v>0</v>
      </c>
      <c r="H145" s="2">
        <v>1</v>
      </c>
      <c r="I145" s="2">
        <v>0</v>
      </c>
      <c r="J145" s="9">
        <f t="shared" si="15"/>
        <v>0</v>
      </c>
      <c r="K145" s="7">
        <f t="shared" si="16"/>
        <v>1</v>
      </c>
      <c r="L145" s="10">
        <v>15</v>
      </c>
      <c r="M145" s="35">
        <v>0</v>
      </c>
      <c r="N145" s="35">
        <v>1</v>
      </c>
      <c r="O145" s="35">
        <v>0</v>
      </c>
      <c r="P145" s="35">
        <v>1</v>
      </c>
      <c r="Q145" s="35">
        <v>0</v>
      </c>
      <c r="R145" s="13"/>
      <c r="S145">
        <f t="shared" si="14"/>
        <v>1</v>
      </c>
      <c r="T145">
        <f t="shared" si="14"/>
        <v>1</v>
      </c>
      <c r="U145">
        <f t="shared" si="14"/>
        <v>1</v>
      </c>
      <c r="V145">
        <f t="shared" si="14"/>
        <v>1</v>
      </c>
      <c r="W145">
        <f t="shared" si="14"/>
        <v>1</v>
      </c>
    </row>
    <row r="146" spans="1:23">
      <c r="A146" s="1">
        <v>9</v>
      </c>
      <c r="B146" s="2" t="s">
        <v>30</v>
      </c>
      <c r="C146" s="10">
        <v>16</v>
      </c>
      <c r="D146" s="2" t="s">
        <v>31</v>
      </c>
      <c r="E146" s="2">
        <v>0</v>
      </c>
      <c r="F146" s="2">
        <v>1</v>
      </c>
      <c r="G146" s="2">
        <v>0</v>
      </c>
      <c r="H146" s="2">
        <v>0</v>
      </c>
      <c r="I146" s="2">
        <v>1</v>
      </c>
      <c r="J146" s="9">
        <f t="shared" si="15"/>
        <v>-1</v>
      </c>
      <c r="K146" s="7">
        <f t="shared" si="16"/>
        <v>0.5</v>
      </c>
      <c r="L146" s="10">
        <v>16</v>
      </c>
      <c r="M146" s="35">
        <v>1</v>
      </c>
      <c r="N146" s="35">
        <v>1</v>
      </c>
      <c r="O146" s="35">
        <v>1</v>
      </c>
      <c r="P146" s="35">
        <v>0</v>
      </c>
      <c r="Q146" s="35">
        <v>1</v>
      </c>
      <c r="R146" s="13"/>
      <c r="S146">
        <f t="shared" si="14"/>
        <v>0</v>
      </c>
      <c r="T146">
        <f t="shared" si="14"/>
        <v>1</v>
      </c>
      <c r="U146">
        <f t="shared" si="14"/>
        <v>0</v>
      </c>
      <c r="V146">
        <f t="shared" si="14"/>
        <v>1</v>
      </c>
      <c r="W146">
        <f t="shared" si="14"/>
        <v>1</v>
      </c>
    </row>
    <row r="147" spans="1:23">
      <c r="A147" s="1">
        <v>10</v>
      </c>
      <c r="B147" s="2" t="s">
        <v>12</v>
      </c>
      <c r="C147" s="10">
        <v>1</v>
      </c>
      <c r="D147" s="2" t="s">
        <v>32</v>
      </c>
      <c r="E147" s="2">
        <v>1</v>
      </c>
      <c r="F147" s="2">
        <v>0</v>
      </c>
      <c r="G147" s="2">
        <v>1</v>
      </c>
      <c r="H147" s="2">
        <v>0</v>
      </c>
      <c r="I147" s="2">
        <v>0</v>
      </c>
      <c r="J147" s="9">
        <f t="shared" si="15"/>
        <v>-3</v>
      </c>
      <c r="K147" s="7">
        <f t="shared" si="16"/>
        <v>1</v>
      </c>
      <c r="L147" s="10">
        <v>1</v>
      </c>
      <c r="M147" s="35">
        <v>1</v>
      </c>
      <c r="N147" s="35">
        <v>0</v>
      </c>
      <c r="O147" s="35">
        <v>1</v>
      </c>
      <c r="P147" s="35">
        <v>0</v>
      </c>
      <c r="Q147" s="35">
        <v>0</v>
      </c>
      <c r="R147" s="13"/>
      <c r="S147">
        <f t="shared" si="14"/>
        <v>1</v>
      </c>
      <c r="T147">
        <f t="shared" si="14"/>
        <v>1</v>
      </c>
      <c r="U147">
        <f t="shared" si="14"/>
        <v>1</v>
      </c>
      <c r="V147">
        <f t="shared" si="14"/>
        <v>1</v>
      </c>
      <c r="W147">
        <f t="shared" si="14"/>
        <v>1</v>
      </c>
    </row>
    <row r="148" spans="1:23">
      <c r="A148" s="1">
        <v>10</v>
      </c>
      <c r="B148" s="2" t="s">
        <v>12</v>
      </c>
      <c r="C148" s="10">
        <v>2</v>
      </c>
      <c r="D148" s="2" t="s">
        <v>16</v>
      </c>
      <c r="E148" s="2">
        <v>0</v>
      </c>
      <c r="F148" s="2">
        <v>0</v>
      </c>
      <c r="G148" s="2">
        <v>0</v>
      </c>
      <c r="H148" s="2">
        <v>1</v>
      </c>
      <c r="I148" s="2">
        <v>0</v>
      </c>
      <c r="J148" s="9">
        <f t="shared" si="15"/>
        <v>0</v>
      </c>
      <c r="K148" s="7">
        <f t="shared" si="16"/>
        <v>0.4</v>
      </c>
      <c r="L148" s="10">
        <v>2</v>
      </c>
      <c r="M148" s="36">
        <v>1</v>
      </c>
      <c r="N148" s="36">
        <v>1</v>
      </c>
      <c r="O148" s="36">
        <v>1</v>
      </c>
      <c r="P148" s="36">
        <v>1</v>
      </c>
      <c r="Q148" s="36">
        <v>0</v>
      </c>
      <c r="R148" s="13"/>
      <c r="S148">
        <f t="shared" si="14"/>
        <v>0</v>
      </c>
      <c r="T148">
        <f t="shared" si="14"/>
        <v>0</v>
      </c>
      <c r="U148">
        <f t="shared" si="14"/>
        <v>0</v>
      </c>
      <c r="V148">
        <f t="shared" si="14"/>
        <v>1</v>
      </c>
      <c r="W148">
        <f t="shared" si="14"/>
        <v>1</v>
      </c>
    </row>
    <row r="149" spans="1:23">
      <c r="A149" s="1">
        <v>10</v>
      </c>
      <c r="B149" s="2" t="s">
        <v>12</v>
      </c>
      <c r="C149" s="10">
        <v>3</v>
      </c>
      <c r="D149" s="2" t="s">
        <v>17</v>
      </c>
      <c r="E149" s="2">
        <v>1</v>
      </c>
      <c r="F149" s="2">
        <v>0</v>
      </c>
      <c r="G149" s="2">
        <v>0</v>
      </c>
      <c r="H149" s="2">
        <v>0</v>
      </c>
      <c r="I149" s="2">
        <v>0</v>
      </c>
      <c r="J149" s="9">
        <f t="shared" si="15"/>
        <v>-3</v>
      </c>
      <c r="K149" s="7">
        <f t="shared" si="16"/>
        <v>0.5</v>
      </c>
      <c r="L149" s="10">
        <v>3</v>
      </c>
      <c r="M149" s="35">
        <v>1</v>
      </c>
      <c r="N149" s="35">
        <v>0</v>
      </c>
      <c r="O149" s="35">
        <v>1</v>
      </c>
      <c r="P149" s="35">
        <v>0</v>
      </c>
      <c r="Q149" s="35">
        <v>0</v>
      </c>
      <c r="R149" s="13"/>
      <c r="S149">
        <f t="shared" si="14"/>
        <v>1</v>
      </c>
      <c r="T149">
        <f t="shared" si="14"/>
        <v>1</v>
      </c>
      <c r="U149">
        <f t="shared" si="14"/>
        <v>0</v>
      </c>
      <c r="V149">
        <f t="shared" si="14"/>
        <v>1</v>
      </c>
      <c r="W149">
        <f t="shared" si="14"/>
        <v>1</v>
      </c>
    </row>
    <row r="150" spans="1:23">
      <c r="A150" s="1">
        <v>10</v>
      </c>
      <c r="B150" s="2" t="s">
        <v>12</v>
      </c>
      <c r="C150" s="10">
        <v>4</v>
      </c>
      <c r="D150" s="2" t="s">
        <v>18</v>
      </c>
      <c r="E150" s="2">
        <v>0</v>
      </c>
      <c r="F150" s="2">
        <v>0</v>
      </c>
      <c r="G150" s="2">
        <v>0</v>
      </c>
      <c r="H150" s="2">
        <v>1</v>
      </c>
      <c r="I150" s="2">
        <v>0</v>
      </c>
      <c r="J150" s="9">
        <f t="shared" si="15"/>
        <v>0</v>
      </c>
      <c r="K150" s="7">
        <f t="shared" si="16"/>
        <v>0.6</v>
      </c>
      <c r="L150" s="10">
        <v>4</v>
      </c>
      <c r="M150" s="36">
        <v>0</v>
      </c>
      <c r="N150" s="36">
        <v>1</v>
      </c>
      <c r="O150" s="36">
        <v>0</v>
      </c>
      <c r="P150" s="36">
        <v>1</v>
      </c>
      <c r="Q150" s="36">
        <v>1</v>
      </c>
      <c r="R150" s="13"/>
      <c r="S150">
        <f t="shared" si="14"/>
        <v>1</v>
      </c>
      <c r="T150">
        <f t="shared" si="14"/>
        <v>0</v>
      </c>
      <c r="U150">
        <f t="shared" si="14"/>
        <v>1</v>
      </c>
      <c r="V150">
        <f t="shared" si="14"/>
        <v>1</v>
      </c>
      <c r="W150">
        <f t="shared" si="14"/>
        <v>0</v>
      </c>
    </row>
    <row r="151" spans="1:23">
      <c r="A151" s="1">
        <v>10</v>
      </c>
      <c r="B151" s="2" t="s">
        <v>12</v>
      </c>
      <c r="C151" s="10">
        <v>5</v>
      </c>
      <c r="D151" s="2" t="s">
        <v>19</v>
      </c>
      <c r="E151" s="2">
        <v>1</v>
      </c>
      <c r="F151" s="2">
        <v>0</v>
      </c>
      <c r="G151" s="2">
        <v>0</v>
      </c>
      <c r="H151" s="2">
        <v>0</v>
      </c>
      <c r="I151" s="2">
        <v>0</v>
      </c>
      <c r="J151" s="9">
        <f t="shared" si="15"/>
        <v>-3</v>
      </c>
      <c r="K151" s="7">
        <f t="shared" si="16"/>
        <v>0.5</v>
      </c>
      <c r="L151" s="10">
        <v>5</v>
      </c>
      <c r="M151" s="35">
        <v>1</v>
      </c>
      <c r="N151" s="35">
        <v>0</v>
      </c>
      <c r="O151" s="35">
        <v>1</v>
      </c>
      <c r="P151" s="35">
        <v>0</v>
      </c>
      <c r="Q151" s="35">
        <v>0</v>
      </c>
      <c r="R151" s="13"/>
      <c r="S151">
        <f t="shared" si="14"/>
        <v>1</v>
      </c>
      <c r="T151">
        <f t="shared" si="14"/>
        <v>1</v>
      </c>
      <c r="U151">
        <f t="shared" si="14"/>
        <v>0</v>
      </c>
      <c r="V151">
        <f t="shared" si="14"/>
        <v>1</v>
      </c>
      <c r="W151">
        <f t="shared" si="14"/>
        <v>1</v>
      </c>
    </row>
    <row r="152" spans="1:23">
      <c r="A152" s="1">
        <v>10</v>
      </c>
      <c r="B152" s="2" t="s">
        <v>12</v>
      </c>
      <c r="C152" s="10">
        <v>6</v>
      </c>
      <c r="D152" s="2" t="s">
        <v>20</v>
      </c>
      <c r="E152" s="2">
        <v>0</v>
      </c>
      <c r="F152" s="2">
        <v>0</v>
      </c>
      <c r="G152" s="2">
        <v>0</v>
      </c>
      <c r="H152" s="2">
        <v>1</v>
      </c>
      <c r="I152" s="2">
        <v>0</v>
      </c>
      <c r="J152" s="9">
        <f t="shared" si="15"/>
        <v>0</v>
      </c>
      <c r="K152" s="7">
        <f t="shared" si="16"/>
        <v>1</v>
      </c>
      <c r="L152" s="10">
        <v>6</v>
      </c>
      <c r="M152" s="36">
        <v>0</v>
      </c>
      <c r="N152" s="36">
        <v>0</v>
      </c>
      <c r="O152" s="36">
        <v>0</v>
      </c>
      <c r="P152" s="36">
        <v>1</v>
      </c>
      <c r="Q152" s="36">
        <v>0</v>
      </c>
      <c r="R152" s="13"/>
      <c r="S152">
        <f t="shared" si="14"/>
        <v>1</v>
      </c>
      <c r="T152">
        <f t="shared" si="14"/>
        <v>1</v>
      </c>
      <c r="U152">
        <f t="shared" si="14"/>
        <v>1</v>
      </c>
      <c r="V152">
        <f t="shared" si="14"/>
        <v>1</v>
      </c>
      <c r="W152">
        <f t="shared" si="14"/>
        <v>1</v>
      </c>
    </row>
    <row r="153" spans="1:23">
      <c r="A153" s="1">
        <v>10</v>
      </c>
      <c r="B153" s="2" t="s">
        <v>12</v>
      </c>
      <c r="C153" s="10">
        <v>7</v>
      </c>
      <c r="D153" s="2" t="s">
        <v>21</v>
      </c>
      <c r="E153" s="2">
        <v>1</v>
      </c>
      <c r="F153" s="2">
        <v>0</v>
      </c>
      <c r="G153" s="2">
        <v>0</v>
      </c>
      <c r="H153" s="2">
        <v>0</v>
      </c>
      <c r="I153" s="2">
        <v>0</v>
      </c>
      <c r="J153" s="9">
        <f t="shared" si="15"/>
        <v>-3</v>
      </c>
      <c r="K153" s="7">
        <f t="shared" si="16"/>
        <v>0.5</v>
      </c>
      <c r="L153" s="10">
        <v>7</v>
      </c>
      <c r="M153" s="35">
        <v>1</v>
      </c>
      <c r="N153" s="35">
        <v>0</v>
      </c>
      <c r="O153" s="35">
        <v>1</v>
      </c>
      <c r="P153" s="35">
        <v>0</v>
      </c>
      <c r="Q153" s="35">
        <v>0</v>
      </c>
      <c r="R153" s="13"/>
      <c r="S153">
        <f t="shared" si="14"/>
        <v>1</v>
      </c>
      <c r="T153">
        <f t="shared" si="14"/>
        <v>1</v>
      </c>
      <c r="U153">
        <f t="shared" si="14"/>
        <v>0</v>
      </c>
      <c r="V153">
        <f t="shared" si="14"/>
        <v>1</v>
      </c>
      <c r="W153">
        <f t="shared" si="14"/>
        <v>1</v>
      </c>
    </row>
    <row r="154" spans="1:23">
      <c r="A154" s="1">
        <v>10</v>
      </c>
      <c r="B154" s="2" t="s">
        <v>12</v>
      </c>
      <c r="C154" s="10">
        <v>8</v>
      </c>
      <c r="D154" s="2" t="s">
        <v>22</v>
      </c>
      <c r="E154" s="2">
        <v>0</v>
      </c>
      <c r="F154" s="2">
        <v>0</v>
      </c>
      <c r="G154" s="2">
        <v>0</v>
      </c>
      <c r="H154" s="2">
        <v>1</v>
      </c>
      <c r="I154" s="2">
        <v>0</v>
      </c>
      <c r="J154" s="9">
        <f t="shared" si="15"/>
        <v>0</v>
      </c>
      <c r="K154" s="7">
        <f t="shared" si="16"/>
        <v>0.8</v>
      </c>
      <c r="L154" s="10">
        <v>8</v>
      </c>
      <c r="M154" s="36">
        <v>1</v>
      </c>
      <c r="N154" s="36">
        <v>0</v>
      </c>
      <c r="O154" s="36">
        <v>0</v>
      </c>
      <c r="P154" s="36">
        <v>1</v>
      </c>
      <c r="Q154" s="36">
        <v>0</v>
      </c>
      <c r="R154" s="13"/>
      <c r="S154">
        <f t="shared" si="14"/>
        <v>0</v>
      </c>
      <c r="T154">
        <f t="shared" si="14"/>
        <v>1</v>
      </c>
      <c r="U154">
        <f t="shared" si="14"/>
        <v>1</v>
      </c>
      <c r="V154">
        <f t="shared" si="14"/>
        <v>1</v>
      </c>
      <c r="W154">
        <f t="shared" si="14"/>
        <v>1</v>
      </c>
    </row>
    <row r="155" spans="1:23">
      <c r="A155" s="1">
        <v>10</v>
      </c>
      <c r="B155" s="2" t="s">
        <v>12</v>
      </c>
      <c r="C155" s="10">
        <v>9</v>
      </c>
      <c r="D155" s="2" t="s">
        <v>23</v>
      </c>
      <c r="E155" s="2">
        <v>1</v>
      </c>
      <c r="F155" s="2">
        <v>0</v>
      </c>
      <c r="G155" s="2">
        <v>0</v>
      </c>
      <c r="H155" s="2">
        <v>0</v>
      </c>
      <c r="I155" s="2">
        <v>0</v>
      </c>
      <c r="J155" s="9">
        <f t="shared" si="15"/>
        <v>-3</v>
      </c>
      <c r="K155" s="7">
        <f t="shared" si="16"/>
        <v>0.5</v>
      </c>
      <c r="L155" s="10">
        <v>9</v>
      </c>
      <c r="M155" s="35">
        <v>1</v>
      </c>
      <c r="N155" s="35">
        <v>0</v>
      </c>
      <c r="O155" s="35">
        <v>1</v>
      </c>
      <c r="P155" s="35">
        <v>0</v>
      </c>
      <c r="Q155" s="35">
        <v>0</v>
      </c>
      <c r="R155" s="13"/>
      <c r="S155">
        <f t="shared" si="14"/>
        <v>1</v>
      </c>
      <c r="T155">
        <f t="shared" si="14"/>
        <v>1</v>
      </c>
      <c r="U155">
        <f t="shared" si="14"/>
        <v>0</v>
      </c>
      <c r="V155">
        <f t="shared" si="14"/>
        <v>1</v>
      </c>
      <c r="W155">
        <f t="shared" si="14"/>
        <v>1</v>
      </c>
    </row>
    <row r="156" spans="1:23">
      <c r="A156" s="1">
        <v>10</v>
      </c>
      <c r="B156" s="2" t="s">
        <v>12</v>
      </c>
      <c r="C156" s="10">
        <v>10</v>
      </c>
      <c r="D156" s="2" t="s">
        <v>24</v>
      </c>
      <c r="E156" s="2">
        <v>0</v>
      </c>
      <c r="F156" s="2">
        <v>0</v>
      </c>
      <c r="G156" s="2">
        <v>0</v>
      </c>
      <c r="H156" s="2">
        <v>1</v>
      </c>
      <c r="I156" s="2">
        <v>0</v>
      </c>
      <c r="J156" s="9">
        <f t="shared" si="15"/>
        <v>0</v>
      </c>
      <c r="K156" s="7">
        <f t="shared" si="16"/>
        <v>0.8</v>
      </c>
      <c r="L156" s="10">
        <v>10</v>
      </c>
      <c r="M156" s="36">
        <v>0</v>
      </c>
      <c r="N156" s="36">
        <v>1</v>
      </c>
      <c r="O156" s="36">
        <v>0</v>
      </c>
      <c r="P156" s="36">
        <v>1</v>
      </c>
      <c r="Q156" s="36">
        <v>0</v>
      </c>
      <c r="R156" s="13"/>
      <c r="S156">
        <f t="shared" si="14"/>
        <v>1</v>
      </c>
      <c r="T156">
        <f t="shared" si="14"/>
        <v>0</v>
      </c>
      <c r="U156">
        <f t="shared" si="14"/>
        <v>1</v>
      </c>
      <c r="V156">
        <f t="shared" si="14"/>
        <v>1</v>
      </c>
      <c r="W156">
        <f t="shared" si="14"/>
        <v>1</v>
      </c>
    </row>
    <row r="157" spans="1:23">
      <c r="A157" s="1">
        <v>10</v>
      </c>
      <c r="B157" s="2" t="s">
        <v>12</v>
      </c>
      <c r="C157" s="10">
        <v>11</v>
      </c>
      <c r="D157" s="2" t="s">
        <v>25</v>
      </c>
      <c r="E157" s="2">
        <v>1</v>
      </c>
      <c r="F157" s="2">
        <v>0</v>
      </c>
      <c r="G157" s="2">
        <v>0</v>
      </c>
      <c r="H157" s="2">
        <v>1</v>
      </c>
      <c r="I157" s="2">
        <v>0</v>
      </c>
      <c r="J157" s="9">
        <f t="shared" si="15"/>
        <v>0</v>
      </c>
      <c r="K157" s="7">
        <f t="shared" si="16"/>
        <v>0.6</v>
      </c>
      <c r="L157" s="10">
        <v>11</v>
      </c>
      <c r="M157" s="35">
        <v>1</v>
      </c>
      <c r="N157" s="35">
        <v>0</v>
      </c>
      <c r="O157" s="35">
        <v>1</v>
      </c>
      <c r="P157" s="35">
        <v>0</v>
      </c>
      <c r="Q157" s="35">
        <v>0</v>
      </c>
      <c r="R157" s="13"/>
      <c r="S157">
        <f t="shared" si="14"/>
        <v>1</v>
      </c>
      <c r="T157">
        <f t="shared" si="14"/>
        <v>1</v>
      </c>
      <c r="U157">
        <f t="shared" si="14"/>
        <v>0</v>
      </c>
      <c r="V157">
        <f t="shared" si="14"/>
        <v>0</v>
      </c>
      <c r="W157">
        <f t="shared" si="14"/>
        <v>1</v>
      </c>
    </row>
    <row r="158" spans="1:23">
      <c r="A158" s="1">
        <v>10</v>
      </c>
      <c r="B158" s="2" t="s">
        <v>12</v>
      </c>
      <c r="C158" s="10">
        <v>12</v>
      </c>
      <c r="D158" s="2" t="s">
        <v>26</v>
      </c>
      <c r="E158" s="2">
        <v>1</v>
      </c>
      <c r="F158" s="2">
        <v>0</v>
      </c>
      <c r="G158" s="2">
        <v>0</v>
      </c>
      <c r="H158" s="2">
        <v>0</v>
      </c>
      <c r="I158" s="2">
        <v>0</v>
      </c>
      <c r="J158" s="9">
        <f t="shared" si="15"/>
        <v>-3</v>
      </c>
      <c r="K158" s="7">
        <f t="shared" si="16"/>
        <v>0.5</v>
      </c>
      <c r="L158" s="10">
        <v>12</v>
      </c>
      <c r="M158" s="35">
        <v>1</v>
      </c>
      <c r="N158" s="35">
        <v>0</v>
      </c>
      <c r="O158" s="35">
        <v>1</v>
      </c>
      <c r="P158" s="35">
        <v>0</v>
      </c>
      <c r="Q158" s="35">
        <v>0</v>
      </c>
      <c r="R158" s="13"/>
      <c r="S158">
        <f t="shared" si="14"/>
        <v>1</v>
      </c>
      <c r="T158">
        <f t="shared" si="14"/>
        <v>1</v>
      </c>
      <c r="U158">
        <f t="shared" si="14"/>
        <v>0</v>
      </c>
      <c r="V158">
        <f t="shared" si="14"/>
        <v>1</v>
      </c>
      <c r="W158">
        <f t="shared" si="14"/>
        <v>1</v>
      </c>
    </row>
    <row r="159" spans="1:23">
      <c r="A159" s="1">
        <v>10</v>
      </c>
      <c r="B159" s="2" t="s">
        <v>12</v>
      </c>
      <c r="C159" s="10">
        <v>13</v>
      </c>
      <c r="D159" s="2" t="s">
        <v>27</v>
      </c>
      <c r="E159" s="2">
        <v>0</v>
      </c>
      <c r="F159" s="2">
        <v>0</v>
      </c>
      <c r="G159" s="2">
        <v>0</v>
      </c>
      <c r="H159" s="2">
        <v>1</v>
      </c>
      <c r="I159" s="2">
        <v>0</v>
      </c>
      <c r="J159" s="9">
        <f t="shared" si="15"/>
        <v>0</v>
      </c>
      <c r="K159" s="7">
        <f t="shared" si="16"/>
        <v>0.6</v>
      </c>
      <c r="L159" s="10">
        <v>13</v>
      </c>
      <c r="M159" s="35">
        <v>0</v>
      </c>
      <c r="N159" s="35">
        <v>1</v>
      </c>
      <c r="O159" s="35">
        <v>0</v>
      </c>
      <c r="P159" s="35">
        <v>1</v>
      </c>
      <c r="Q159" s="35">
        <v>1</v>
      </c>
      <c r="R159" s="13"/>
      <c r="S159">
        <f t="shared" si="14"/>
        <v>1</v>
      </c>
      <c r="T159">
        <f t="shared" si="14"/>
        <v>0</v>
      </c>
      <c r="U159">
        <f t="shared" si="14"/>
        <v>1</v>
      </c>
      <c r="V159">
        <f t="shared" si="14"/>
        <v>1</v>
      </c>
      <c r="W159">
        <f t="shared" si="14"/>
        <v>0</v>
      </c>
    </row>
    <row r="160" spans="1:23">
      <c r="A160" s="1">
        <v>10</v>
      </c>
      <c r="B160" s="2" t="s">
        <v>12</v>
      </c>
      <c r="C160" s="10">
        <v>14</v>
      </c>
      <c r="D160" s="2" t="s">
        <v>28</v>
      </c>
      <c r="E160" s="2">
        <v>1</v>
      </c>
      <c r="F160" s="2">
        <v>0</v>
      </c>
      <c r="G160" s="2">
        <v>0</v>
      </c>
      <c r="H160" s="2">
        <v>0</v>
      </c>
      <c r="I160" s="2">
        <v>0</v>
      </c>
      <c r="J160" s="9">
        <f t="shared" si="15"/>
        <v>-3</v>
      </c>
      <c r="K160" s="7">
        <f t="shared" si="16"/>
        <v>0.5</v>
      </c>
      <c r="L160" s="10">
        <v>14</v>
      </c>
      <c r="M160" s="35">
        <v>1</v>
      </c>
      <c r="N160" s="35">
        <v>0</v>
      </c>
      <c r="O160" s="35">
        <v>1</v>
      </c>
      <c r="P160" s="35">
        <v>0</v>
      </c>
      <c r="Q160" s="35">
        <v>0</v>
      </c>
      <c r="R160" s="13"/>
      <c r="S160">
        <f t="shared" si="14"/>
        <v>1</v>
      </c>
      <c r="T160">
        <f t="shared" si="14"/>
        <v>1</v>
      </c>
      <c r="U160">
        <f t="shared" si="14"/>
        <v>0</v>
      </c>
      <c r="V160">
        <f t="shared" si="14"/>
        <v>1</v>
      </c>
      <c r="W160">
        <f t="shared" si="14"/>
        <v>1</v>
      </c>
    </row>
    <row r="161" spans="1:23">
      <c r="A161" s="1">
        <v>10</v>
      </c>
      <c r="B161" s="2" t="s">
        <v>12</v>
      </c>
      <c r="C161" s="10">
        <v>15</v>
      </c>
      <c r="D161" s="2" t="s">
        <v>29</v>
      </c>
      <c r="E161" s="2">
        <v>0</v>
      </c>
      <c r="F161" s="2">
        <v>0</v>
      </c>
      <c r="G161" s="2">
        <v>0</v>
      </c>
      <c r="H161" s="2">
        <v>1</v>
      </c>
      <c r="I161" s="2">
        <v>0</v>
      </c>
      <c r="J161" s="9">
        <f t="shared" si="15"/>
        <v>0</v>
      </c>
      <c r="K161" s="7">
        <f t="shared" si="16"/>
        <v>0.8</v>
      </c>
      <c r="L161" s="10">
        <v>15</v>
      </c>
      <c r="M161" s="35">
        <v>0</v>
      </c>
      <c r="N161" s="35">
        <v>1</v>
      </c>
      <c r="O161" s="35">
        <v>0</v>
      </c>
      <c r="P161" s="35">
        <v>1</v>
      </c>
      <c r="Q161" s="35">
        <v>0</v>
      </c>
      <c r="R161" s="13"/>
      <c r="S161">
        <f t="shared" si="14"/>
        <v>1</v>
      </c>
      <c r="T161">
        <f t="shared" si="14"/>
        <v>0</v>
      </c>
      <c r="U161">
        <f t="shared" si="14"/>
        <v>1</v>
      </c>
      <c r="V161">
        <f t="shared" si="14"/>
        <v>1</v>
      </c>
      <c r="W161">
        <f t="shared" si="14"/>
        <v>1</v>
      </c>
    </row>
    <row r="162" spans="1:23">
      <c r="A162" s="1">
        <v>10</v>
      </c>
      <c r="B162" s="2" t="s">
        <v>30</v>
      </c>
      <c r="C162" s="10">
        <v>16</v>
      </c>
      <c r="D162" s="2" t="s">
        <v>31</v>
      </c>
      <c r="E162" s="2">
        <v>0</v>
      </c>
      <c r="F162" s="2">
        <v>0</v>
      </c>
      <c r="G162" s="2">
        <v>0</v>
      </c>
      <c r="H162" s="2">
        <v>0</v>
      </c>
      <c r="I162" s="2">
        <v>1</v>
      </c>
      <c r="J162" s="9">
        <f t="shared" si="15"/>
        <v>-1</v>
      </c>
      <c r="K162" s="7">
        <f t="shared" si="16"/>
        <v>0.25</v>
      </c>
      <c r="L162" s="10">
        <v>16</v>
      </c>
      <c r="M162" s="35">
        <v>1</v>
      </c>
      <c r="N162" s="35">
        <v>1</v>
      </c>
      <c r="O162" s="35">
        <v>1</v>
      </c>
      <c r="P162" s="35">
        <v>0</v>
      </c>
      <c r="Q162" s="35">
        <v>1</v>
      </c>
      <c r="R162" s="13"/>
      <c r="S162">
        <f t="shared" si="14"/>
        <v>0</v>
      </c>
      <c r="T162">
        <f t="shared" si="14"/>
        <v>0</v>
      </c>
      <c r="U162">
        <f t="shared" si="14"/>
        <v>0</v>
      </c>
      <c r="V162">
        <f t="shared" si="14"/>
        <v>1</v>
      </c>
      <c r="W162">
        <f t="shared" si="14"/>
        <v>1</v>
      </c>
    </row>
    <row r="163" spans="1:23">
      <c r="A163" s="1"/>
      <c r="C163" s="11"/>
      <c r="R163" t="s">
        <v>52</v>
      </c>
      <c r="S163" s="17">
        <f>COUNTIFS(S3:S162,1)</f>
        <v>121</v>
      </c>
      <c r="T163" s="17">
        <f>COUNTIFS(T3:T162,1)</f>
        <v>121</v>
      </c>
      <c r="U163" s="17">
        <f>COUNTIFS(U3:U162,1)</f>
        <v>107</v>
      </c>
      <c r="V163" s="17">
        <f>COUNTIFS(V3:V162,1)</f>
        <v>142</v>
      </c>
      <c r="W163" s="17">
        <f>COUNTIFS(W3:W162,1)</f>
        <v>140</v>
      </c>
    </row>
    <row r="164" spans="1:23">
      <c r="C164" s="11"/>
      <c r="G164" s="4"/>
      <c r="R164" s="17" t="s">
        <v>53</v>
      </c>
      <c r="S164" s="31">
        <f>AVERAGE(S3:S162)</f>
        <v>0.75624999999999998</v>
      </c>
      <c r="T164" s="32">
        <f>AVERAGE(T3:T162)</f>
        <v>0.75624999999999998</v>
      </c>
      <c r="U164" s="31">
        <f>AVERAGE(U3:U162)</f>
        <v>0.66874999999999996</v>
      </c>
      <c r="V164" s="32">
        <f>AVERAGE(V3:V162)</f>
        <v>0.88749999999999996</v>
      </c>
      <c r="W164" s="32">
        <f>AVERAGE(W3:W162)</f>
        <v>0.875</v>
      </c>
    </row>
    <row r="165" spans="1:23">
      <c r="C165" s="11"/>
      <c r="R165" s="17" t="s">
        <v>54</v>
      </c>
      <c r="S165" s="30">
        <f>STDEVP(S3:S162)</f>
        <v>0.42934361238988988</v>
      </c>
      <c r="T165" s="27">
        <f>STDEVP(T3:T162)</f>
        <v>0.42934361238988988</v>
      </c>
      <c r="U165" s="30">
        <f>STDEVP(U3:U162)</f>
        <v>0.47066276408910873</v>
      </c>
      <c r="V165" s="27">
        <f>STDEVP(V3:V162)</f>
        <v>0.31598061649411346</v>
      </c>
      <c r="W165" s="27">
        <f>STDEVP(W3:W162)</f>
        <v>0.33071891388307384</v>
      </c>
    </row>
    <row r="166" spans="1:23">
      <c r="C166" s="11"/>
    </row>
    <row r="167" spans="1:23">
      <c r="L167" s="11"/>
      <c r="M167" s="13"/>
      <c r="N167" s="13"/>
      <c r="O167" s="13"/>
      <c r="P167" s="13"/>
      <c r="Q167" s="13"/>
      <c r="R167" s="13"/>
    </row>
    <row r="168" spans="1:23">
      <c r="L168" s="11"/>
      <c r="Q168"/>
      <c r="R168"/>
    </row>
    <row r="169" spans="1:23">
      <c r="L169" s="11"/>
      <c r="M169" s="13"/>
      <c r="N169" s="13"/>
      <c r="O169" s="13"/>
      <c r="P169" s="13"/>
      <c r="Q169" s="13"/>
      <c r="R169" s="13"/>
    </row>
    <row r="170" spans="1:23">
      <c r="L170" s="11"/>
      <c r="O170" s="13"/>
      <c r="P170"/>
      <c r="Q170"/>
      <c r="R170"/>
    </row>
    <row r="171" spans="1:23">
      <c r="L171" s="11"/>
      <c r="M171" s="13"/>
      <c r="N171" s="13"/>
      <c r="O171" s="13"/>
      <c r="P171" s="13"/>
      <c r="Q171" s="13"/>
      <c r="R171" s="13"/>
    </row>
    <row r="172" spans="1:23">
      <c r="L172" s="11"/>
      <c r="M172" s="13"/>
      <c r="N172" s="13"/>
      <c r="O172" s="13"/>
      <c r="P172" s="13"/>
      <c r="Q172" s="13"/>
      <c r="R172" s="13"/>
    </row>
    <row r="173" spans="1:23">
      <c r="L173" s="11"/>
      <c r="M173" s="13"/>
      <c r="N173" s="13"/>
      <c r="O173" s="13"/>
      <c r="P173" s="13"/>
      <c r="Q173" s="13"/>
      <c r="R173" s="13"/>
    </row>
    <row r="174" spans="1:23">
      <c r="L174" s="11"/>
      <c r="M174" s="13"/>
      <c r="N174" s="13"/>
      <c r="O174" s="13"/>
      <c r="P174" s="13"/>
      <c r="Q174" s="13"/>
      <c r="R174" s="13"/>
    </row>
    <row r="175" spans="1:23">
      <c r="L175" s="11"/>
      <c r="M175" s="13"/>
      <c r="N175" s="13"/>
      <c r="O175" s="13"/>
      <c r="P175" s="13"/>
      <c r="Q175" s="13"/>
      <c r="R175" s="13"/>
    </row>
    <row r="176" spans="1:23">
      <c r="L176" s="11"/>
      <c r="M176" s="13"/>
      <c r="N176" s="13"/>
      <c r="O176" s="13"/>
      <c r="P176" s="13"/>
      <c r="Q176" s="13"/>
      <c r="R176" s="13"/>
    </row>
    <row r="177" spans="3:18">
      <c r="C177" s="11"/>
      <c r="L177" s="11"/>
      <c r="M177" s="13"/>
      <c r="N177" s="13"/>
      <c r="O177" s="13"/>
      <c r="P177" s="13"/>
      <c r="Q177" s="13"/>
      <c r="R177" s="13"/>
    </row>
    <row r="178" spans="3:18">
      <c r="C178" s="11"/>
      <c r="L178" s="11"/>
      <c r="M178" s="13"/>
      <c r="N178" s="13"/>
      <c r="O178" s="13"/>
      <c r="P178" s="13"/>
      <c r="Q178" s="13"/>
      <c r="R178" s="13"/>
    </row>
    <row r="179" spans="3:18">
      <c r="C179" s="11"/>
      <c r="L179" s="11"/>
      <c r="M179" s="13"/>
      <c r="N179" s="13"/>
      <c r="O179" s="13"/>
      <c r="P179" s="13"/>
      <c r="Q179" s="13"/>
      <c r="R179" s="13"/>
    </row>
    <row r="180" spans="3:18">
      <c r="C180" s="11"/>
      <c r="L180" s="11"/>
      <c r="M180" s="13"/>
      <c r="N180" s="13"/>
      <c r="O180" s="13"/>
      <c r="P180" s="13"/>
      <c r="Q180" s="13"/>
      <c r="R180" s="13"/>
    </row>
    <row r="181" spans="3:18">
      <c r="C181" s="11"/>
      <c r="L181" s="11"/>
      <c r="M181" s="13"/>
      <c r="N181" s="13"/>
      <c r="O181" s="13"/>
      <c r="P181" s="13"/>
      <c r="Q181" s="13"/>
      <c r="R181" s="13"/>
    </row>
    <row r="182" spans="3:18">
      <c r="C182" s="11"/>
      <c r="L182" s="11"/>
      <c r="M182" s="13"/>
      <c r="N182" s="13"/>
      <c r="O182" s="13"/>
      <c r="P182" s="13"/>
      <c r="Q182" s="13"/>
      <c r="R182" s="13"/>
    </row>
    <row r="183" spans="3:18">
      <c r="C183" s="11"/>
      <c r="L183" s="11"/>
      <c r="O183" s="13"/>
    </row>
    <row r="184" spans="3:18">
      <c r="C184" s="11"/>
      <c r="L184" s="11"/>
      <c r="O184" s="13"/>
    </row>
    <row r="185" spans="3:18">
      <c r="C185" s="11"/>
      <c r="L185" s="11"/>
    </row>
    <row r="186" spans="3:18">
      <c r="C186" s="11"/>
      <c r="L186" s="11"/>
    </row>
    <row r="187" spans="3:18">
      <c r="C187" s="11"/>
      <c r="L187" s="11"/>
    </row>
    <row r="188" spans="3:18">
      <c r="C188" s="11"/>
      <c r="L188" s="11"/>
    </row>
    <row r="189" spans="3:18">
      <c r="C189" s="11"/>
    </row>
    <row r="190" spans="3:18">
      <c r="C190" s="11"/>
    </row>
    <row r="191" spans="3:18">
      <c r="C191" s="11"/>
    </row>
    <row r="192" spans="3:18">
      <c r="C192" s="11"/>
    </row>
    <row r="193" spans="3:3">
      <c r="C193" s="11"/>
    </row>
    <row r="194" spans="3:3">
      <c r="C194" s="11"/>
    </row>
    <row r="195" spans="3:3">
      <c r="C195" s="11"/>
    </row>
    <row r="196" spans="3:3">
      <c r="C196" s="11"/>
    </row>
    <row r="197" spans="3:3">
      <c r="C197" s="11"/>
    </row>
    <row r="198" spans="3:3">
      <c r="C198" s="11"/>
    </row>
    <row r="199" spans="3:3">
      <c r="C199" s="11"/>
    </row>
    <row r="200" spans="3:3">
      <c r="C200" s="11"/>
    </row>
    <row r="201" spans="3:3">
      <c r="C201" s="11"/>
    </row>
    <row r="202" spans="3:3">
      <c r="C202" s="11"/>
    </row>
    <row r="203" spans="3:3">
      <c r="C203" s="11"/>
    </row>
    <row r="204" spans="3:3">
      <c r="C204" s="11"/>
    </row>
    <row r="205" spans="3:3">
      <c r="C205" s="11"/>
    </row>
    <row r="206" spans="3:3">
      <c r="C206" s="11"/>
    </row>
    <row r="207" spans="3:3">
      <c r="C207" s="11"/>
    </row>
    <row r="208" spans="3:3">
      <c r="C208" s="11"/>
    </row>
    <row r="209" spans="3:3">
      <c r="C209" s="11"/>
    </row>
    <row r="210" spans="3:3">
      <c r="C210" s="11"/>
    </row>
    <row r="211" spans="3:3">
      <c r="C211" s="11"/>
    </row>
    <row r="212" spans="3:3">
      <c r="C212" s="11"/>
    </row>
    <row r="213" spans="3:3">
      <c r="C213" s="11"/>
    </row>
    <row r="214" spans="3:3">
      <c r="C214" s="11"/>
    </row>
    <row r="215" spans="3:3">
      <c r="C215" s="11"/>
    </row>
    <row r="216" spans="3:3">
      <c r="C216" s="11"/>
    </row>
    <row r="217" spans="3:3">
      <c r="C217" s="11"/>
    </row>
    <row r="218" spans="3:3">
      <c r="C218" s="11"/>
    </row>
    <row r="219" spans="3:3">
      <c r="C219" s="11"/>
    </row>
    <row r="220" spans="3:3">
      <c r="C220" s="11"/>
    </row>
    <row r="221" spans="3:3">
      <c r="C221" s="11"/>
    </row>
    <row r="222" spans="3:3">
      <c r="C222" s="11"/>
    </row>
    <row r="223" spans="3:3">
      <c r="C223" s="11"/>
    </row>
    <row r="224" spans="3:3">
      <c r="C224" s="11"/>
    </row>
    <row r="225" spans="3:3">
      <c r="C225" s="11"/>
    </row>
    <row r="226" spans="3:3">
      <c r="C226" s="11"/>
    </row>
    <row r="227" spans="3:3">
      <c r="C227" s="11"/>
    </row>
    <row r="228" spans="3:3">
      <c r="C228" s="11"/>
    </row>
    <row r="229" spans="3:3">
      <c r="C229" s="11"/>
    </row>
    <row r="230" spans="3:3">
      <c r="C230" s="11"/>
    </row>
    <row r="231" spans="3:3">
      <c r="C231" s="11"/>
    </row>
    <row r="232" spans="3:3">
      <c r="C232" s="11"/>
    </row>
    <row r="233" spans="3:3">
      <c r="C233" s="11"/>
    </row>
    <row r="234" spans="3:3">
      <c r="C234" s="11"/>
    </row>
    <row r="235" spans="3:3">
      <c r="C235" s="11"/>
    </row>
    <row r="236" spans="3:3">
      <c r="C236" s="11"/>
    </row>
    <row r="237" spans="3:3">
      <c r="C237" s="11"/>
    </row>
    <row r="238" spans="3:3">
      <c r="C238" s="11"/>
    </row>
    <row r="239" spans="3:3">
      <c r="C239" s="11"/>
    </row>
    <row r="240" spans="3:3">
      <c r="C240" s="11"/>
    </row>
    <row r="241" spans="3:3">
      <c r="C241" s="11"/>
    </row>
    <row r="242" spans="3:3">
      <c r="C242" s="11"/>
    </row>
    <row r="243" spans="3:3">
      <c r="C243" s="11"/>
    </row>
    <row r="244" spans="3:3">
      <c r="C244" s="11"/>
    </row>
    <row r="245" spans="3:3">
      <c r="C245" s="11"/>
    </row>
    <row r="246" spans="3:3">
      <c r="C246" s="11"/>
    </row>
    <row r="247" spans="3:3">
      <c r="C247" s="11"/>
    </row>
    <row r="248" spans="3:3">
      <c r="C248" s="11"/>
    </row>
    <row r="249" spans="3:3">
      <c r="C249" s="11"/>
    </row>
    <row r="250" spans="3:3">
      <c r="C250" s="11"/>
    </row>
    <row r="251" spans="3:3">
      <c r="C251" s="11"/>
    </row>
    <row r="252" spans="3:3">
      <c r="C252" s="11"/>
    </row>
    <row r="253" spans="3:3">
      <c r="C253" s="11"/>
    </row>
    <row r="254" spans="3:3">
      <c r="C254" s="11"/>
    </row>
    <row r="255" spans="3:3">
      <c r="C255" s="11"/>
    </row>
    <row r="256" spans="3:3">
      <c r="C256" s="11"/>
    </row>
    <row r="1048576" spans="1:1">
      <c r="A1048576" t="s">
        <v>55</v>
      </c>
    </row>
  </sheetData>
  <autoFilter ref="A1:W165" xr:uid="{D8D30AA6-2477-40CB-832B-88A0BFE6DD2D}"/>
  <mergeCells count="1">
    <mergeCell ref="AW1:BA1"/>
  </mergeCells>
  <conditionalFormatting sqref="S3:W162">
    <cfRule type="colorScale" priority="1">
      <colorScale>
        <cfvo type="min"/>
        <cfvo type="max"/>
        <color rgb="FFFFEF9C"/>
        <color rgb="FF63BE7B"/>
      </colorScale>
    </cfRule>
  </conditionalFormatting>
  <pageMargins left="0.7" right="0.7" top="0.75" bottom="0.75" header="0.3" footer="0.3"/>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CF74DA95E63ED428C4D085D3F47AA1D" ma:contentTypeVersion="13" ma:contentTypeDescription="Create a new document." ma:contentTypeScope="" ma:versionID="e07f5a8f282931c7b407c221943e03de">
  <xsd:schema xmlns:xsd="http://www.w3.org/2001/XMLSchema" xmlns:xs="http://www.w3.org/2001/XMLSchema" xmlns:p="http://schemas.microsoft.com/office/2006/metadata/properties" xmlns:ns2="b82638fb-a0d0-4b7f-9150-b2e74dfbbbd1" xmlns:ns3="f75e220a-be12-4de1-a3a3-86255455deb8" targetNamespace="http://schemas.microsoft.com/office/2006/metadata/properties" ma:root="true" ma:fieldsID="4abc8b9b25781420c3505fc928e96573" ns2:_="" ns3:_="">
    <xsd:import namespace="b82638fb-a0d0-4b7f-9150-b2e74dfbbbd1"/>
    <xsd:import namespace="f75e220a-be12-4de1-a3a3-86255455deb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Letto"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82638fb-a0d0-4b7f-9150-b2e74dfbbbd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ec321eb7-7579-4b0b-aaae-46c07e43205a" ma:termSetId="09814cd3-568e-fe90-9814-8d621ff8fb84" ma:anchorId="fba54fb3-c3e1-fe81-a776-ca4b69148c4d" ma:open="true" ma:isKeyword="false">
      <xsd:complexType>
        <xsd:sequence>
          <xsd:element ref="pc:Terms" minOccurs="0" maxOccurs="1"/>
        </xsd:sequence>
      </xsd:complexType>
    </xsd:element>
    <xsd:element name="Letto" ma:index="19" nillable="true" ma:displayName="Letto" ma:default="0" ma:format="Dropdown" ma:internalName="Letto">
      <xsd:simpleType>
        <xsd:restriction base="dms:Boolea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75e220a-be12-4de1-a3a3-86255455deb8"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d2a1b5ff-1236-452e-9d6a-39a7b4254fc3}" ma:internalName="TaxCatchAll" ma:showField="CatchAllData" ma:web="f75e220a-be12-4de1-a3a3-86255455deb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etto xmlns="b82638fb-a0d0-4b7f-9150-b2e74dfbbbd1">false</Letto>
    <TaxCatchAll xmlns="f75e220a-be12-4de1-a3a3-86255455deb8" xsi:nil="true"/>
    <lcf76f155ced4ddcb4097134ff3c332f xmlns="b82638fb-a0d0-4b7f-9150-b2e74dfbbbd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AD1CF5C-35A6-441B-84FF-2D62FF5932E5}"/>
</file>

<file path=customXml/itemProps2.xml><?xml version="1.0" encoding="utf-8"?>
<ds:datastoreItem xmlns:ds="http://schemas.openxmlformats.org/officeDocument/2006/customXml" ds:itemID="{ADE1F915-821A-4D33-A527-E5E536AFB21C}"/>
</file>

<file path=customXml/itemProps3.xml><?xml version="1.0" encoding="utf-8"?>
<ds:datastoreItem xmlns:ds="http://schemas.openxmlformats.org/officeDocument/2006/customXml" ds:itemID="{1D28FE87-28EB-4588-BCB9-EFA46CD712C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Matteri Davide</dc:creator>
  <cp:keywords/>
  <dc:description/>
  <cp:lastModifiedBy/>
  <cp:revision/>
  <dcterms:created xsi:type="dcterms:W3CDTF">2025-10-30T09:25:31Z</dcterms:created>
  <dcterms:modified xsi:type="dcterms:W3CDTF">2026-04-15T06:52:15Z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0x0101008CF74DA95E63ED428C4D085D3F47AA1D</vt:lpwstr>
  </property>
  <property fmtid="{D5CDD505-2E9C-101B-9397-08002B2CF9AE}" pid="3" name="MediaServiceImageTags">
    <vt:lpwstr/>
  </property>
</Properties>
</file>